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ily log" sheetId="1" r:id="rId1"/>
    <sheet name="How to use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d d mmm yyyy"/>
    <numFmt numFmtId="165" formatCode="0.0#"/>
    <numFmt numFmtId="166" formatCode="0.00"/>
  </numFmts>
  <fonts count="3">
    <font>
      <sz val="11"/>
      <name val="Calibri"/>
    </font>
    <font>
      <b/>
      <sz val="11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  <fill>
      <patternFill patternType="solid">
        <fgColor rgb="FF6B728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2" fillId="3" borderId="0" xfId="0" applyFont="1" applyFill="1" applyAlignment="1">
      <alignment horizontal="center" vertical="center" wrapText="1"/>
    </xf>
    <xf numFmtId="166" fontId="0" fillId="0" borderId="0" xfId="0" applyNumberFormat="1" applyAlignment="1">
      <alignment horizontal="center"/>
    </xf>
  </cellXfs>
  <cellStyles count="1">
    <cellStyle name="Normal" xfId="0" builtinId="0"/>
  </cellStyles>
  <dxfs count="6">
    <dxf>
      <font>
        <color rgb="FF166534"/>
      </font>
      <fill>
        <patternFill>
          <bgColor rgb="FFD1FAE5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1E40AF"/>
      </font>
      <fill>
        <patternFill>
          <bgColor rgb="FFDBEAFE"/>
        </patternFill>
      </fill>
    </dxf>
    <dxf>
      <font/>
      <fill>
        <patternFill>
          <bgColor rgb="FFECFDF5"/>
        </patternFill>
      </fill>
    </dxf>
    <dxf>
      <font>
        <b/>
        <color rgb="FF1E40AF"/>
      </font>
      <fill>
        <patternFill>
          <bgColor rgb="FFBFDBF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13" customWidth="1"/>
    <col min="2" max="2" width="10" customWidth="1"/>
    <col min="3" max="3" width="12" customWidth="1"/>
    <col min="4" max="4" width="10" customWidth="1"/>
    <col min="5" max="5" width="14" customWidth="1"/>
    <col min="6" max="6" width="10" customWidth="1"/>
    <col min="7" max="7" width="22" customWidth="1"/>
    <col min="8" max="8" width="28" customWidth="1"/>
    <col min="9" max="9" width="10" customWidth="1"/>
    <col min="10" max="10" width="11" customWidth="1"/>
    <col min="11" max="11" width="10" customWidth="1"/>
    <col min="12" max="12" width="8" customWidth="1"/>
    <col min="13" max="13" width="12" customWidth="1"/>
    <col min="14" max="14" width="40" customWidth="1"/>
    <col min="15" max="15" width="14" customWidth="1"/>
    <col min="16" max="16" width="12" customWidth="1"/>
    <col min="17" max="17" width="12" customWidth="1"/>
  </cols>
  <sheetData>
    <row r="1">
      <c r="A1" s="1" t="inlineStr">
        <is>
          <t>Date</t>
        </is>
      </c>
      <c r="B1" s="1" t="inlineStr">
        <is>
          <t>Rest day</t>
        </is>
      </c>
      <c r="C1" s="1" t="inlineStr">
        <is>
          <t>Weight (kg)</t>
        </is>
      </c>
      <c r="D1" s="1" t="inlineStr">
        <is>
          <t>Run (km)</t>
        </is>
      </c>
      <c r="E1" s="1" t="inlineStr">
        <is>
          <t>Run time (min)</t>
        </is>
      </c>
      <c r="F1" s="1" t="inlineStr">
        <is>
          <t>Gym done</t>
        </is>
      </c>
      <c r="G1" s="1" t="inlineStr">
        <is>
          <t>Workout</t>
        </is>
      </c>
      <c r="H1" s="1" t="inlineStr">
        <is>
          <t>Body parts</t>
        </is>
      </c>
      <c r="I1" s="1" t="inlineStr">
        <is>
          <t>Calories</t>
        </is>
      </c>
      <c r="J1" s="1" t="inlineStr">
        <is>
          <t>Protein (g)</t>
        </is>
      </c>
      <c r="K1" s="1" t="inlineStr">
        <is>
          <t>Carbs (g)</t>
        </is>
      </c>
      <c r="L1" s="1" t="inlineStr">
        <is>
          <t>Fat (g)</t>
        </is>
      </c>
      <c r="M1" s="1" t="inlineStr">
        <is>
          <t>Vlog posted</t>
        </is>
      </c>
      <c r="N1" s="1" t="inlineStr">
        <is>
          <t>Vlog link</t>
        </is>
      </c>
      <c r="O1" s="5" t="inlineStr">
        <is>
          <t>Target weight (auto)</t>
        </is>
      </c>
      <c r="P1" s="5" t="inlineStr">
        <is>
          <t>Vs target (auto)</t>
        </is>
      </c>
      <c r="Q1" s="5" t="inlineStr">
        <is>
          <t>Score of 4 (auto)</t>
        </is>
      </c>
    </row>
    <row r="2">
      <c r="A2" t="inlineStr">
        <is>
          <t>2026-10-26</t>
        </is>
      </c>
      <c r="O2" s="6">
        <f>IF(OR($C$2="",A2=""),"",ROUND($C$2-0.75*(DATEVALUE(A2)-DATEVALUE($A$2))/7,2))</f>
      </c>
      <c r="P2" s="6">
        <f>IF(OR(C2="",O2=""),"",ROUND(C2-O2,2))</f>
      </c>
      <c r="Q2" s="4">
        <f>IF(COUNTA(B2:N2)=0,"",IF(OR(B2="Yes",AND(D2&lt;&gt;"",D2&gt;=10)),1,0)+IF(OR(B2="Yes",F2="Yes",G2&lt;&gt;""),1,0)+IF(AND(I2&lt;&gt;"",I2&lt;=2200),1,0)+IF(M2="Yes",1,0))</f>
      </c>
    </row>
    <row r="3">
      <c r="A3" t="inlineStr">
        <is>
          <t>2026-10-27</t>
        </is>
      </c>
      <c r="O3" s="6">
        <f>IF(OR($C$2="",A3=""),"",ROUND($C$2-0.75*(DATEVALUE(A3)-DATEVALUE($A$2))/7,2))</f>
      </c>
      <c r="P3" s="6">
        <f>IF(OR(C3="",O3=""),"",ROUND(C3-O3,2))</f>
      </c>
      <c r="Q3" s="4">
        <f>IF(COUNTA(B3:N3)=0,"",IF(OR(B3="Yes",AND(D3&lt;&gt;"",D3&gt;=10)),1,0)+IF(OR(B3="Yes",F3="Yes",G3&lt;&gt;""),1,0)+IF(AND(I3&lt;&gt;"",I3&lt;=2200),1,0)+IF(M3="Yes",1,0))</f>
      </c>
    </row>
    <row r="4">
      <c r="A4" t="inlineStr">
        <is>
          <t>2026-10-28</t>
        </is>
      </c>
      <c r="O4" s="6">
        <f>IF(OR($C$2="",A4=""),"",ROUND($C$2-0.75*(DATEVALUE(A4)-DATEVALUE($A$2))/7,2))</f>
      </c>
      <c r="P4" s="6">
        <f>IF(OR(C4="",O4=""),"",ROUND(C4-O4,2))</f>
      </c>
      <c r="Q4" s="4">
        <f>IF(COUNTA(B4:N4)=0,"",IF(OR(B4="Yes",AND(D4&lt;&gt;"",D4&gt;=10)),1,0)+IF(OR(B4="Yes",F4="Yes",G4&lt;&gt;""),1,0)+IF(AND(I4&lt;&gt;"",I4&lt;=2200),1,0)+IF(M4="Yes",1,0))</f>
      </c>
    </row>
    <row r="5">
      <c r="A5" t="inlineStr">
        <is>
          <t>2026-10-29</t>
        </is>
      </c>
      <c r="O5" s="6">
        <f>IF(OR($C$2="",A5=""),"",ROUND($C$2-0.75*(DATEVALUE(A5)-DATEVALUE($A$2))/7,2))</f>
      </c>
      <c r="P5" s="6">
        <f>IF(OR(C5="",O5=""),"",ROUND(C5-O5,2))</f>
      </c>
      <c r="Q5" s="4">
        <f>IF(COUNTA(B5:N5)=0,"",IF(OR(B5="Yes",AND(D5&lt;&gt;"",D5&gt;=10)),1,0)+IF(OR(B5="Yes",F5="Yes",G5&lt;&gt;""),1,0)+IF(AND(I5&lt;&gt;"",I5&lt;=2200),1,0)+IF(M5="Yes",1,0))</f>
      </c>
    </row>
    <row r="6">
      <c r="A6" t="inlineStr">
        <is>
          <t>2026-10-30</t>
        </is>
      </c>
      <c r="O6" s="6">
        <f>IF(OR($C$2="",A6=""),"",ROUND($C$2-0.75*(DATEVALUE(A6)-DATEVALUE($A$2))/7,2))</f>
      </c>
      <c r="P6" s="6">
        <f>IF(OR(C6="",O6=""),"",ROUND(C6-O6,2))</f>
      </c>
      <c r="Q6" s="4">
        <f>IF(COUNTA(B6:N6)=0,"",IF(OR(B6="Yes",AND(D6&lt;&gt;"",D6&gt;=10)),1,0)+IF(OR(B6="Yes",F6="Yes",G6&lt;&gt;""),1,0)+IF(AND(I6&lt;&gt;"",I6&lt;=2200),1,0)+IF(M6="Yes",1,0))</f>
      </c>
    </row>
    <row r="7">
      <c r="A7" t="inlineStr">
        <is>
          <t>2026-10-31</t>
        </is>
      </c>
      <c r="O7" s="6">
        <f>IF(OR($C$2="",A7=""),"",ROUND($C$2-0.75*(DATEVALUE(A7)-DATEVALUE($A$2))/7,2))</f>
      </c>
      <c r="P7" s="6">
        <f>IF(OR(C7="",O7=""),"",ROUND(C7-O7,2))</f>
      </c>
      <c r="Q7" s="4">
        <f>IF(COUNTA(B7:N7)=0,"",IF(OR(B7="Yes",AND(D7&lt;&gt;"",D7&gt;=10)),1,0)+IF(OR(B7="Yes",F7="Yes",G7&lt;&gt;""),1,0)+IF(AND(I7&lt;&gt;"",I7&lt;=2200),1,0)+IF(M7="Yes",1,0))</f>
      </c>
    </row>
    <row r="8">
      <c r="A8" t="inlineStr">
        <is>
          <t>2026-11-01</t>
        </is>
      </c>
      <c r="O8" s="6">
        <f>IF(OR($C$2="",A8=""),"",ROUND($C$2-0.75*(DATEVALUE(A8)-DATEVALUE($A$2))/7,2))</f>
      </c>
      <c r="P8" s="6">
        <f>IF(OR(C8="",O8=""),"",ROUND(C8-O8,2))</f>
      </c>
      <c r="Q8" s="4">
        <f>IF(COUNTA(B8:N8)=0,"",IF(OR(B8="Yes",AND(D8&lt;&gt;"",D8&gt;=10)),1,0)+IF(OR(B8="Yes",F8="Yes",G8&lt;&gt;""),1,0)+IF(AND(I8&lt;&gt;"",I8&lt;=2200),1,0)+IF(M8="Yes",1,0))</f>
      </c>
    </row>
    <row r="9">
      <c r="A9" t="inlineStr">
        <is>
          <t>2026-11-02</t>
        </is>
      </c>
      <c r="O9" s="6">
        <f>IF(OR($C$2="",A9=""),"",ROUND($C$2-0.75*(DATEVALUE(A9)-DATEVALUE($A$2))/7,2))</f>
      </c>
      <c r="P9" s="6">
        <f>IF(OR(C9="",O9=""),"",ROUND(C9-O9,2))</f>
      </c>
      <c r="Q9" s="4">
        <f>IF(COUNTA(B9:N9)=0,"",IF(OR(B9="Yes",AND(D9&lt;&gt;"",D9&gt;=10)),1,0)+IF(OR(B9="Yes",F9="Yes",G9&lt;&gt;""),1,0)+IF(AND(I9&lt;&gt;"",I9&lt;=2200),1,0)+IF(M9="Yes",1,0))</f>
      </c>
    </row>
    <row r="10">
      <c r="A10" t="inlineStr">
        <is>
          <t>2026-11-03</t>
        </is>
      </c>
      <c r="O10" s="6">
        <f>IF(OR($C$2="",A10=""),"",ROUND($C$2-0.75*(DATEVALUE(A10)-DATEVALUE($A$2))/7,2))</f>
      </c>
      <c r="P10" s="6">
        <f>IF(OR(C10="",O10=""),"",ROUND(C10-O10,2))</f>
      </c>
      <c r="Q10" s="4">
        <f>IF(COUNTA(B10:N10)=0,"",IF(OR(B10="Yes",AND(D10&lt;&gt;"",D10&gt;=10)),1,0)+IF(OR(B10="Yes",F10="Yes",G10&lt;&gt;""),1,0)+IF(AND(I10&lt;&gt;"",I10&lt;=2200),1,0)+IF(M10="Yes",1,0))</f>
      </c>
    </row>
    <row r="11">
      <c r="A11" t="inlineStr">
        <is>
          <t>2026-11-04</t>
        </is>
      </c>
      <c r="O11" s="6">
        <f>IF(OR($C$2="",A11=""),"",ROUND($C$2-0.75*(DATEVALUE(A11)-DATEVALUE($A$2))/7,2))</f>
      </c>
      <c r="P11" s="6">
        <f>IF(OR(C11="",O11=""),"",ROUND(C11-O11,2))</f>
      </c>
      <c r="Q11" s="4">
        <f>IF(COUNTA(B11:N11)=0,"",IF(OR(B11="Yes",AND(D11&lt;&gt;"",D11&gt;=10)),1,0)+IF(OR(B11="Yes",F11="Yes",G11&lt;&gt;""),1,0)+IF(AND(I11&lt;&gt;"",I11&lt;=2200),1,0)+IF(M11="Yes",1,0))</f>
      </c>
    </row>
    <row r="12">
      <c r="A12" t="inlineStr">
        <is>
          <t>2026-11-05</t>
        </is>
      </c>
      <c r="O12" s="6">
        <f>IF(OR($C$2="",A12=""),"",ROUND($C$2-0.75*(DATEVALUE(A12)-DATEVALUE($A$2))/7,2))</f>
      </c>
      <c r="P12" s="6">
        <f>IF(OR(C12="",O12=""),"",ROUND(C12-O12,2))</f>
      </c>
      <c r="Q12" s="4">
        <f>IF(COUNTA(B12:N12)=0,"",IF(OR(B12="Yes",AND(D12&lt;&gt;"",D12&gt;=10)),1,0)+IF(OR(B12="Yes",F12="Yes",G12&lt;&gt;""),1,0)+IF(AND(I12&lt;&gt;"",I12&lt;=2200),1,0)+IF(M12="Yes",1,0))</f>
      </c>
    </row>
    <row r="13">
      <c r="A13" t="inlineStr">
        <is>
          <t>2026-11-06</t>
        </is>
      </c>
      <c r="O13" s="6">
        <f>IF(OR($C$2="",A13=""),"",ROUND($C$2-0.75*(DATEVALUE(A13)-DATEVALUE($A$2))/7,2))</f>
      </c>
      <c r="P13" s="6">
        <f>IF(OR(C13="",O13=""),"",ROUND(C13-O13,2))</f>
      </c>
      <c r="Q13" s="4">
        <f>IF(COUNTA(B13:N13)=0,"",IF(OR(B13="Yes",AND(D13&lt;&gt;"",D13&gt;=10)),1,0)+IF(OR(B13="Yes",F13="Yes",G13&lt;&gt;""),1,0)+IF(AND(I13&lt;&gt;"",I13&lt;=2200),1,0)+IF(M13="Yes",1,0))</f>
      </c>
    </row>
    <row r="14">
      <c r="A14" t="inlineStr">
        <is>
          <t>2026-11-07</t>
        </is>
      </c>
      <c r="O14" s="6">
        <f>IF(OR($C$2="",A14=""),"",ROUND($C$2-0.75*(DATEVALUE(A14)-DATEVALUE($A$2))/7,2))</f>
      </c>
      <c r="P14" s="6">
        <f>IF(OR(C14="",O14=""),"",ROUND(C14-O14,2))</f>
      </c>
      <c r="Q14" s="4">
        <f>IF(COUNTA(B14:N14)=0,"",IF(OR(B14="Yes",AND(D14&lt;&gt;"",D14&gt;=10)),1,0)+IF(OR(B14="Yes",F14="Yes",G14&lt;&gt;""),1,0)+IF(AND(I14&lt;&gt;"",I14&lt;=2200),1,0)+IF(M14="Yes",1,0))</f>
      </c>
    </row>
    <row r="15">
      <c r="A15" t="inlineStr">
        <is>
          <t>2026-11-08</t>
        </is>
      </c>
      <c r="O15" s="6">
        <f>IF(OR($C$2="",A15=""),"",ROUND($C$2-0.75*(DATEVALUE(A15)-DATEVALUE($A$2))/7,2))</f>
      </c>
      <c r="P15" s="6">
        <f>IF(OR(C15="",O15=""),"",ROUND(C15-O15,2))</f>
      </c>
      <c r="Q15" s="4">
        <f>IF(COUNTA(B15:N15)=0,"",IF(OR(B15="Yes",AND(D15&lt;&gt;"",D15&gt;=10)),1,0)+IF(OR(B15="Yes",F15="Yes",G15&lt;&gt;""),1,0)+IF(AND(I15&lt;&gt;"",I15&lt;=2200),1,0)+IF(M15="Yes",1,0))</f>
      </c>
    </row>
    <row r="16">
      <c r="A16" t="inlineStr">
        <is>
          <t>2026-11-09</t>
        </is>
      </c>
      <c r="O16" s="6">
        <f>IF(OR($C$2="",A16=""),"",ROUND($C$2-0.75*(DATEVALUE(A16)-DATEVALUE($A$2))/7,2))</f>
      </c>
      <c r="P16" s="6">
        <f>IF(OR(C16="",O16=""),"",ROUND(C16-O16,2))</f>
      </c>
      <c r="Q16" s="4">
        <f>IF(COUNTA(B16:N16)=0,"",IF(OR(B16="Yes",AND(D16&lt;&gt;"",D16&gt;=10)),1,0)+IF(OR(B16="Yes",F16="Yes",G16&lt;&gt;""),1,0)+IF(AND(I16&lt;&gt;"",I16&lt;=2200),1,0)+IF(M16="Yes",1,0))</f>
      </c>
    </row>
    <row r="17">
      <c r="A17" t="inlineStr">
        <is>
          <t>2026-11-10</t>
        </is>
      </c>
      <c r="O17" s="6">
        <f>IF(OR($C$2="",A17=""),"",ROUND($C$2-0.75*(DATEVALUE(A17)-DATEVALUE($A$2))/7,2))</f>
      </c>
      <c r="P17" s="6">
        <f>IF(OR(C17="",O17=""),"",ROUND(C17-O17,2))</f>
      </c>
      <c r="Q17" s="4">
        <f>IF(COUNTA(B17:N17)=0,"",IF(OR(B17="Yes",AND(D17&lt;&gt;"",D17&gt;=10)),1,0)+IF(OR(B17="Yes",F17="Yes",G17&lt;&gt;""),1,0)+IF(AND(I17&lt;&gt;"",I17&lt;=2200),1,0)+IF(M17="Yes",1,0))</f>
      </c>
    </row>
    <row r="18">
      <c r="A18" t="inlineStr">
        <is>
          <t>2026-11-11</t>
        </is>
      </c>
      <c r="O18" s="6">
        <f>IF(OR($C$2="",A18=""),"",ROUND($C$2-0.75*(DATEVALUE(A18)-DATEVALUE($A$2))/7,2))</f>
      </c>
      <c r="P18" s="6">
        <f>IF(OR(C18="",O18=""),"",ROUND(C18-O18,2))</f>
      </c>
      <c r="Q18" s="4">
        <f>IF(COUNTA(B18:N18)=0,"",IF(OR(B18="Yes",AND(D18&lt;&gt;"",D18&gt;=10)),1,0)+IF(OR(B18="Yes",F18="Yes",G18&lt;&gt;""),1,0)+IF(AND(I18&lt;&gt;"",I18&lt;=2200),1,0)+IF(M18="Yes",1,0))</f>
      </c>
    </row>
    <row r="19">
      <c r="A19" t="inlineStr">
        <is>
          <t>2026-11-12</t>
        </is>
      </c>
      <c r="O19" s="6">
        <f>IF(OR($C$2="",A19=""),"",ROUND($C$2-0.75*(DATEVALUE(A19)-DATEVALUE($A$2))/7,2))</f>
      </c>
      <c r="P19" s="6">
        <f>IF(OR(C19="",O19=""),"",ROUND(C19-O19,2))</f>
      </c>
      <c r="Q19" s="4">
        <f>IF(COUNTA(B19:N19)=0,"",IF(OR(B19="Yes",AND(D19&lt;&gt;"",D19&gt;=10)),1,0)+IF(OR(B19="Yes",F19="Yes",G19&lt;&gt;""),1,0)+IF(AND(I19&lt;&gt;"",I19&lt;=2200),1,0)+IF(M19="Yes",1,0))</f>
      </c>
    </row>
    <row r="20">
      <c r="A20" t="inlineStr">
        <is>
          <t>2026-11-13</t>
        </is>
      </c>
      <c r="O20" s="6">
        <f>IF(OR($C$2="",A20=""),"",ROUND($C$2-0.75*(DATEVALUE(A20)-DATEVALUE($A$2))/7,2))</f>
      </c>
      <c r="P20" s="6">
        <f>IF(OR(C20="",O20=""),"",ROUND(C20-O20,2))</f>
      </c>
      <c r="Q20" s="4">
        <f>IF(COUNTA(B20:N20)=0,"",IF(OR(B20="Yes",AND(D20&lt;&gt;"",D20&gt;=10)),1,0)+IF(OR(B20="Yes",F20="Yes",G20&lt;&gt;""),1,0)+IF(AND(I20&lt;&gt;"",I20&lt;=2200),1,0)+IF(M20="Yes",1,0))</f>
      </c>
    </row>
    <row r="21">
      <c r="A21" t="inlineStr">
        <is>
          <t>2026-11-14</t>
        </is>
      </c>
      <c r="O21" s="6">
        <f>IF(OR($C$2="",A21=""),"",ROUND($C$2-0.75*(DATEVALUE(A21)-DATEVALUE($A$2))/7,2))</f>
      </c>
      <c r="P21" s="6">
        <f>IF(OR(C21="",O21=""),"",ROUND(C21-O21,2))</f>
      </c>
      <c r="Q21" s="4">
        <f>IF(COUNTA(B21:N21)=0,"",IF(OR(B21="Yes",AND(D21&lt;&gt;"",D21&gt;=10)),1,0)+IF(OR(B21="Yes",F21="Yes",G21&lt;&gt;""),1,0)+IF(AND(I21&lt;&gt;"",I21&lt;=2200),1,0)+IF(M21="Yes",1,0))</f>
      </c>
    </row>
    <row r="22">
      <c r="A22" t="inlineStr">
        <is>
          <t>2026-11-15</t>
        </is>
      </c>
      <c r="O22" s="6">
        <f>IF(OR($C$2="",A22=""),"",ROUND($C$2-0.75*(DATEVALUE(A22)-DATEVALUE($A$2))/7,2))</f>
      </c>
      <c r="P22" s="6">
        <f>IF(OR(C22="",O22=""),"",ROUND(C22-O22,2))</f>
      </c>
      <c r="Q22" s="4">
        <f>IF(COUNTA(B22:N22)=0,"",IF(OR(B22="Yes",AND(D22&lt;&gt;"",D22&gt;=10)),1,0)+IF(OR(B22="Yes",F22="Yes",G22&lt;&gt;""),1,0)+IF(AND(I22&lt;&gt;"",I22&lt;=2200),1,0)+IF(M22="Yes",1,0))</f>
      </c>
    </row>
    <row r="23">
      <c r="O23" s="6">
        <f>IF(OR($C$2="",A23=""),"",ROUND($C$2-0.75*(DATEVALUE(A23)-DATEVALUE($A$2))/7,2))</f>
      </c>
      <c r="P23" s="6">
        <f>IF(OR(C23="",O23=""),"",ROUND(C23-O23,2))</f>
      </c>
      <c r="Q23" s="4">
        <f>IF(COUNTA(B23:N23)=0,"",IF(OR(B23="Yes",AND(D23&lt;&gt;"",D23&gt;=10)),1,0)+IF(OR(B23="Yes",F23="Yes",G23&lt;&gt;""),1,0)+IF(AND(I23&lt;&gt;"",I23&lt;=2200),1,0)+IF(M23="Yes",1,0))</f>
      </c>
    </row>
    <row r="24">
      <c r="O24" s="6">
        <f>IF(OR($C$2="",A24=""),"",ROUND($C$2-0.75*(DATEVALUE(A24)-DATEVALUE($A$2))/7,2))</f>
      </c>
      <c r="P24" s="6">
        <f>IF(OR(C24="",O24=""),"",ROUND(C24-O24,2))</f>
      </c>
      <c r="Q24" s="4">
        <f>IF(COUNTA(B24:N24)=0,"",IF(OR(B24="Yes",AND(D24&lt;&gt;"",D24&gt;=10)),1,0)+IF(OR(B24="Yes",F24="Yes",G24&lt;&gt;""),1,0)+IF(AND(I24&lt;&gt;"",I24&lt;=2200),1,0)+IF(M24="Yes",1,0))</f>
      </c>
    </row>
    <row r="25">
      <c r="O25" s="6">
        <f>IF(OR($C$2="",A25=""),"",ROUND($C$2-0.75*(DATEVALUE(A25)-DATEVALUE($A$2))/7,2))</f>
      </c>
      <c r="P25" s="6">
        <f>IF(OR(C25="",O25=""),"",ROUND(C25-O25,2))</f>
      </c>
      <c r="Q25" s="4">
        <f>IF(COUNTA(B25:N25)=0,"",IF(OR(B25="Yes",AND(D25&lt;&gt;"",D25&gt;=10)),1,0)+IF(OR(B25="Yes",F25="Yes",G25&lt;&gt;""),1,0)+IF(AND(I25&lt;&gt;"",I25&lt;=2200),1,0)+IF(M25="Yes",1,0))</f>
      </c>
    </row>
    <row r="26">
      <c r="O26" s="6">
        <f>IF(OR($C$2="",A26=""),"",ROUND($C$2-0.75*(DATEVALUE(A26)-DATEVALUE($A$2))/7,2))</f>
      </c>
      <c r="P26" s="6">
        <f>IF(OR(C26="",O26=""),"",ROUND(C26-O26,2))</f>
      </c>
      <c r="Q26" s="4">
        <f>IF(COUNTA(B26:N26)=0,"",IF(OR(B26="Yes",AND(D26&lt;&gt;"",D26&gt;=10)),1,0)+IF(OR(B26="Yes",F26="Yes",G26&lt;&gt;""),1,0)+IF(AND(I26&lt;&gt;"",I26&lt;=2200),1,0)+IF(M26="Yes",1,0))</f>
      </c>
    </row>
    <row r="27">
      <c r="O27" s="6">
        <f>IF(OR($C$2="",A27=""),"",ROUND($C$2-0.75*(DATEVALUE(A27)-DATEVALUE($A$2))/7,2))</f>
      </c>
      <c r="P27" s="6">
        <f>IF(OR(C27="",O27=""),"",ROUND(C27-O27,2))</f>
      </c>
      <c r="Q27" s="4">
        <f>IF(COUNTA(B27:N27)=0,"",IF(OR(B27="Yes",AND(D27&lt;&gt;"",D27&gt;=10)),1,0)+IF(OR(B27="Yes",F27="Yes",G27&lt;&gt;""),1,0)+IF(AND(I27&lt;&gt;"",I27&lt;=2200),1,0)+IF(M27="Yes",1,0))</f>
      </c>
    </row>
    <row r="28">
      <c r="O28" s="6">
        <f>IF(OR($C$2="",A28=""),"",ROUND($C$2-0.75*(DATEVALUE(A28)-DATEVALUE($A$2))/7,2))</f>
      </c>
      <c r="P28" s="6">
        <f>IF(OR(C28="",O28=""),"",ROUND(C28-O28,2))</f>
      </c>
      <c r="Q28" s="4">
        <f>IF(COUNTA(B28:N28)=0,"",IF(OR(B28="Yes",AND(D28&lt;&gt;"",D28&gt;=10)),1,0)+IF(OR(B28="Yes",F28="Yes",G28&lt;&gt;""),1,0)+IF(AND(I28&lt;&gt;"",I28&lt;=2200),1,0)+IF(M28="Yes",1,0))</f>
      </c>
    </row>
    <row r="29">
      <c r="O29" s="6">
        <f>IF(OR($C$2="",A29=""),"",ROUND($C$2-0.75*(DATEVALUE(A29)-DATEVALUE($A$2))/7,2))</f>
      </c>
      <c r="P29" s="6">
        <f>IF(OR(C29="",O29=""),"",ROUND(C29-O29,2))</f>
      </c>
      <c r="Q29" s="4">
        <f>IF(COUNTA(B29:N29)=0,"",IF(OR(B29="Yes",AND(D29&lt;&gt;"",D29&gt;=10)),1,0)+IF(OR(B29="Yes",F29="Yes",G29&lt;&gt;""),1,0)+IF(AND(I29&lt;&gt;"",I29&lt;=2200),1,0)+IF(M29="Yes",1,0))</f>
      </c>
    </row>
    <row r="30">
      <c r="O30" s="6">
        <f>IF(OR($C$2="",A30=""),"",ROUND($C$2-0.75*(DATEVALUE(A30)-DATEVALUE($A$2))/7,2))</f>
      </c>
      <c r="P30" s="6">
        <f>IF(OR(C30="",O30=""),"",ROUND(C30-O30,2))</f>
      </c>
      <c r="Q30" s="4">
        <f>IF(COUNTA(B30:N30)=0,"",IF(OR(B30="Yes",AND(D30&lt;&gt;"",D30&gt;=10)),1,0)+IF(OR(B30="Yes",F30="Yes",G30&lt;&gt;""),1,0)+IF(AND(I30&lt;&gt;"",I30&lt;=2200),1,0)+IF(M30="Yes",1,0))</f>
      </c>
    </row>
    <row r="31">
      <c r="O31" s="6">
        <f>IF(OR($C$2="",A31=""),"",ROUND($C$2-0.75*(DATEVALUE(A31)-DATEVALUE($A$2))/7,2))</f>
      </c>
      <c r="P31" s="6">
        <f>IF(OR(C31="",O31=""),"",ROUND(C31-O31,2))</f>
      </c>
      <c r="Q31" s="4">
        <f>IF(COUNTA(B31:N31)=0,"",IF(OR(B31="Yes",AND(D31&lt;&gt;"",D31&gt;=10)),1,0)+IF(OR(B31="Yes",F31="Yes",G31&lt;&gt;""),1,0)+IF(AND(I31&lt;&gt;"",I31&lt;=2200),1,0)+IF(M31="Yes",1,0))</f>
      </c>
    </row>
    <row r="32">
      <c r="O32" s="6">
        <f>IF(OR($C$2="",A32=""),"",ROUND($C$2-0.75*(DATEVALUE(A32)-DATEVALUE($A$2))/7,2))</f>
      </c>
      <c r="P32" s="6">
        <f>IF(OR(C32="",O32=""),"",ROUND(C32-O32,2))</f>
      </c>
      <c r="Q32" s="4">
        <f>IF(COUNTA(B32:N32)=0,"",IF(OR(B32="Yes",AND(D32&lt;&gt;"",D32&gt;=10)),1,0)+IF(OR(B32="Yes",F32="Yes",G32&lt;&gt;""),1,0)+IF(AND(I32&lt;&gt;"",I32&lt;=2200),1,0)+IF(M32="Yes",1,0))</f>
      </c>
    </row>
    <row r="33">
      <c r="O33" s="6">
        <f>IF(OR($C$2="",A33=""),"",ROUND($C$2-0.75*(DATEVALUE(A33)-DATEVALUE($A$2))/7,2))</f>
      </c>
      <c r="P33" s="6">
        <f>IF(OR(C33="",O33=""),"",ROUND(C33-O33,2))</f>
      </c>
      <c r="Q33" s="4">
        <f>IF(COUNTA(B33:N33)=0,"",IF(OR(B33="Yes",AND(D33&lt;&gt;"",D33&gt;=10)),1,0)+IF(OR(B33="Yes",F33="Yes",G33&lt;&gt;""),1,0)+IF(AND(I33&lt;&gt;"",I33&lt;=2200),1,0)+IF(M33="Yes",1,0))</f>
      </c>
    </row>
    <row r="34">
      <c r="O34" s="6">
        <f>IF(OR($C$2="",A34=""),"",ROUND($C$2-0.75*(DATEVALUE(A34)-DATEVALUE($A$2))/7,2))</f>
      </c>
      <c r="P34" s="6">
        <f>IF(OR(C34="",O34=""),"",ROUND(C34-O34,2))</f>
      </c>
      <c r="Q34" s="4">
        <f>IF(COUNTA(B34:N34)=0,"",IF(OR(B34="Yes",AND(D34&lt;&gt;"",D34&gt;=10)),1,0)+IF(OR(B34="Yes",F34="Yes",G34&lt;&gt;""),1,0)+IF(AND(I34&lt;&gt;"",I34&lt;=2200),1,0)+IF(M34="Yes",1,0))</f>
      </c>
    </row>
    <row r="35">
      <c r="O35" s="6">
        <f>IF(OR($C$2="",A35=""),"",ROUND($C$2-0.75*(DATEVALUE(A35)-DATEVALUE($A$2))/7,2))</f>
      </c>
      <c r="P35" s="6">
        <f>IF(OR(C35="",O35=""),"",ROUND(C35-O35,2))</f>
      </c>
      <c r="Q35" s="4">
        <f>IF(COUNTA(B35:N35)=0,"",IF(OR(B35="Yes",AND(D35&lt;&gt;"",D35&gt;=10)),1,0)+IF(OR(B35="Yes",F35="Yes",G35&lt;&gt;""),1,0)+IF(AND(I35&lt;&gt;"",I35&lt;=2200),1,0)+IF(M35="Yes",1,0))</f>
      </c>
    </row>
    <row r="36">
      <c r="O36" s="6">
        <f>IF(OR($C$2="",A36=""),"",ROUND($C$2-0.75*(DATEVALUE(A36)-DATEVALUE($A$2))/7,2))</f>
      </c>
      <c r="P36" s="6">
        <f>IF(OR(C36="",O36=""),"",ROUND(C36-O36,2))</f>
      </c>
      <c r="Q36" s="4">
        <f>IF(COUNTA(B36:N36)=0,"",IF(OR(B36="Yes",AND(D36&lt;&gt;"",D36&gt;=10)),1,0)+IF(OR(B36="Yes",F36="Yes",G36&lt;&gt;""),1,0)+IF(AND(I36&lt;&gt;"",I36&lt;=2200),1,0)+IF(M36="Yes",1,0))</f>
      </c>
    </row>
    <row r="37">
      <c r="O37" s="6">
        <f>IF(OR($C$2="",A37=""),"",ROUND($C$2-0.75*(DATEVALUE(A37)-DATEVALUE($A$2))/7,2))</f>
      </c>
      <c r="P37" s="6">
        <f>IF(OR(C37="",O37=""),"",ROUND(C37-O37,2))</f>
      </c>
      <c r="Q37" s="4">
        <f>IF(COUNTA(B37:N37)=0,"",IF(OR(B37="Yes",AND(D37&lt;&gt;"",D37&gt;=10)),1,0)+IF(OR(B37="Yes",F37="Yes",G37&lt;&gt;""),1,0)+IF(AND(I37&lt;&gt;"",I37&lt;=2200),1,0)+IF(M37="Yes",1,0))</f>
      </c>
    </row>
    <row r="38">
      <c r="O38" s="6">
        <f>IF(OR($C$2="",A38=""),"",ROUND($C$2-0.75*(DATEVALUE(A38)-DATEVALUE($A$2))/7,2))</f>
      </c>
      <c r="P38" s="6">
        <f>IF(OR(C38="",O38=""),"",ROUND(C38-O38,2))</f>
      </c>
      <c r="Q38" s="4">
        <f>IF(COUNTA(B38:N38)=0,"",IF(OR(B38="Yes",AND(D38&lt;&gt;"",D38&gt;=10)),1,0)+IF(OR(B38="Yes",F38="Yes",G38&lt;&gt;""),1,0)+IF(AND(I38&lt;&gt;"",I38&lt;=2200),1,0)+IF(M38="Yes",1,0))</f>
      </c>
    </row>
    <row r="39">
      <c r="O39" s="6">
        <f>IF(OR($C$2="",A39=""),"",ROUND($C$2-0.75*(DATEVALUE(A39)-DATEVALUE($A$2))/7,2))</f>
      </c>
      <c r="P39" s="6">
        <f>IF(OR(C39="",O39=""),"",ROUND(C39-O39,2))</f>
      </c>
      <c r="Q39" s="4">
        <f>IF(COUNTA(B39:N39)=0,"",IF(OR(B39="Yes",AND(D39&lt;&gt;"",D39&gt;=10)),1,0)+IF(OR(B39="Yes",F39="Yes",G39&lt;&gt;""),1,0)+IF(AND(I39&lt;&gt;"",I39&lt;=2200),1,0)+IF(M39="Yes",1,0))</f>
      </c>
    </row>
    <row r="40">
      <c r="O40" s="6">
        <f>IF(OR($C$2="",A40=""),"",ROUND($C$2-0.75*(DATEVALUE(A40)-DATEVALUE($A$2))/7,2))</f>
      </c>
      <c r="P40" s="6">
        <f>IF(OR(C40="",O40=""),"",ROUND(C40-O40,2))</f>
      </c>
      <c r="Q40" s="4">
        <f>IF(COUNTA(B40:N40)=0,"",IF(OR(B40="Yes",AND(D40&lt;&gt;"",D40&gt;=10)),1,0)+IF(OR(B40="Yes",F40="Yes",G40&lt;&gt;""),1,0)+IF(AND(I40&lt;&gt;"",I40&lt;=2200),1,0)+IF(M40="Yes",1,0))</f>
      </c>
    </row>
    <row r="41">
      <c r="O41" s="6">
        <f>IF(OR($C$2="",A41=""),"",ROUND($C$2-0.75*(DATEVALUE(A41)-DATEVALUE($A$2))/7,2))</f>
      </c>
      <c r="P41" s="6">
        <f>IF(OR(C41="",O41=""),"",ROUND(C41-O41,2))</f>
      </c>
      <c r="Q41" s="4">
        <f>IF(COUNTA(B41:N41)=0,"",IF(OR(B41="Yes",AND(D41&lt;&gt;"",D41&gt;=10)),1,0)+IF(OR(B41="Yes",F41="Yes",G41&lt;&gt;""),1,0)+IF(AND(I41&lt;&gt;"",I41&lt;=2200),1,0)+IF(M41="Yes",1,0))</f>
      </c>
    </row>
    <row r="42">
      <c r="O42" s="6">
        <f>IF(OR($C$2="",A42=""),"",ROUND($C$2-0.75*(DATEVALUE(A42)-DATEVALUE($A$2))/7,2))</f>
      </c>
      <c r="P42" s="6">
        <f>IF(OR(C42="",O42=""),"",ROUND(C42-O42,2))</f>
      </c>
      <c r="Q42" s="4">
        <f>IF(COUNTA(B42:N42)=0,"",IF(OR(B42="Yes",AND(D42&lt;&gt;"",D42&gt;=10)),1,0)+IF(OR(B42="Yes",F42="Yes",G42&lt;&gt;""),1,0)+IF(AND(I42&lt;&gt;"",I42&lt;=2200),1,0)+IF(M42="Yes",1,0))</f>
      </c>
    </row>
    <row r="43">
      <c r="O43" s="6">
        <f>IF(OR($C$2="",A43=""),"",ROUND($C$2-0.75*(DATEVALUE(A43)-DATEVALUE($A$2))/7,2))</f>
      </c>
      <c r="P43" s="6">
        <f>IF(OR(C43="",O43=""),"",ROUND(C43-O43,2))</f>
      </c>
      <c r="Q43" s="4">
        <f>IF(COUNTA(B43:N43)=0,"",IF(OR(B43="Yes",AND(D43&lt;&gt;"",D43&gt;=10)),1,0)+IF(OR(B43="Yes",F43="Yes",G43&lt;&gt;""),1,0)+IF(AND(I43&lt;&gt;"",I43&lt;=2200),1,0)+IF(M43="Yes",1,0))</f>
      </c>
    </row>
    <row r="44">
      <c r="O44" s="6">
        <f>IF(OR($C$2="",A44=""),"",ROUND($C$2-0.75*(DATEVALUE(A44)-DATEVALUE($A$2))/7,2))</f>
      </c>
      <c r="P44" s="6">
        <f>IF(OR(C44="",O44=""),"",ROUND(C44-O44,2))</f>
      </c>
      <c r="Q44" s="4">
        <f>IF(COUNTA(B44:N44)=0,"",IF(OR(B44="Yes",AND(D44&lt;&gt;"",D44&gt;=10)),1,0)+IF(OR(B44="Yes",F44="Yes",G44&lt;&gt;""),1,0)+IF(AND(I44&lt;&gt;"",I44&lt;=2200),1,0)+IF(M44="Yes",1,0))</f>
      </c>
    </row>
    <row r="45">
      <c r="O45" s="6">
        <f>IF(OR($C$2="",A45=""),"",ROUND($C$2-0.75*(DATEVALUE(A45)-DATEVALUE($A$2))/7,2))</f>
      </c>
      <c r="P45" s="6">
        <f>IF(OR(C45="",O45=""),"",ROUND(C45-O45,2))</f>
      </c>
      <c r="Q45" s="4">
        <f>IF(COUNTA(B45:N45)=0,"",IF(OR(B45="Yes",AND(D45&lt;&gt;"",D45&gt;=10)),1,0)+IF(OR(B45="Yes",F45="Yes",G45&lt;&gt;""),1,0)+IF(AND(I45&lt;&gt;"",I45&lt;=2200),1,0)+IF(M45="Yes",1,0))</f>
      </c>
    </row>
    <row r="46">
      <c r="O46" s="6">
        <f>IF(OR($C$2="",A46=""),"",ROUND($C$2-0.75*(DATEVALUE(A46)-DATEVALUE($A$2))/7,2))</f>
      </c>
      <c r="P46" s="6">
        <f>IF(OR(C46="",O46=""),"",ROUND(C46-O46,2))</f>
      </c>
      <c r="Q46" s="4">
        <f>IF(COUNTA(B46:N46)=0,"",IF(OR(B46="Yes",AND(D46&lt;&gt;"",D46&gt;=10)),1,0)+IF(OR(B46="Yes",F46="Yes",G46&lt;&gt;""),1,0)+IF(AND(I46&lt;&gt;"",I46&lt;=2200),1,0)+IF(M46="Yes",1,0))</f>
      </c>
    </row>
    <row r="47">
      <c r="O47" s="6">
        <f>IF(OR($C$2="",A47=""),"",ROUND($C$2-0.75*(DATEVALUE(A47)-DATEVALUE($A$2))/7,2))</f>
      </c>
      <c r="P47" s="6">
        <f>IF(OR(C47="",O47=""),"",ROUND(C47-O47,2))</f>
      </c>
      <c r="Q47" s="4">
        <f>IF(COUNTA(B47:N47)=0,"",IF(OR(B47="Yes",AND(D47&lt;&gt;"",D47&gt;=10)),1,0)+IF(OR(B47="Yes",F47="Yes",G47&lt;&gt;""),1,0)+IF(AND(I47&lt;&gt;"",I47&lt;=2200),1,0)+IF(M47="Yes",1,0))</f>
      </c>
    </row>
    <row r="48">
      <c r="O48" s="6">
        <f>IF(OR($C$2="",A48=""),"",ROUND($C$2-0.75*(DATEVALUE(A48)-DATEVALUE($A$2))/7,2))</f>
      </c>
      <c r="P48" s="6">
        <f>IF(OR(C48="",O48=""),"",ROUND(C48-O48,2))</f>
      </c>
      <c r="Q48" s="4">
        <f>IF(COUNTA(B48:N48)=0,"",IF(OR(B48="Yes",AND(D48&lt;&gt;"",D48&gt;=10)),1,0)+IF(OR(B48="Yes",F48="Yes",G48&lt;&gt;""),1,0)+IF(AND(I48&lt;&gt;"",I48&lt;=2200),1,0)+IF(M48="Yes",1,0))</f>
      </c>
    </row>
    <row r="49">
      <c r="O49" s="6">
        <f>IF(OR($C$2="",A49=""),"",ROUND($C$2-0.75*(DATEVALUE(A49)-DATEVALUE($A$2))/7,2))</f>
      </c>
      <c r="P49" s="6">
        <f>IF(OR(C49="",O49=""),"",ROUND(C49-O49,2))</f>
      </c>
      <c r="Q49" s="4">
        <f>IF(COUNTA(B49:N49)=0,"",IF(OR(B49="Yes",AND(D49&lt;&gt;"",D49&gt;=10)),1,0)+IF(OR(B49="Yes",F49="Yes",G49&lt;&gt;""),1,0)+IF(AND(I49&lt;&gt;"",I49&lt;=2200),1,0)+IF(M49="Yes",1,0))</f>
      </c>
    </row>
    <row r="50">
      <c r="O50" s="6">
        <f>IF(OR($C$2="",A50=""),"",ROUND($C$2-0.75*(DATEVALUE(A50)-DATEVALUE($A$2))/7,2))</f>
      </c>
      <c r="P50" s="6">
        <f>IF(OR(C50="",O50=""),"",ROUND(C50-O50,2))</f>
      </c>
      <c r="Q50" s="4">
        <f>IF(COUNTA(B50:N50)=0,"",IF(OR(B50="Yes",AND(D50&lt;&gt;"",D50&gt;=10)),1,0)+IF(OR(B50="Yes",F50="Yes",G50&lt;&gt;""),1,0)+IF(AND(I50&lt;&gt;"",I50&lt;=2200),1,0)+IF(M50="Yes",1,0))</f>
      </c>
    </row>
    <row r="51">
      <c r="O51" s="6">
        <f>IF(OR($C$2="",A51=""),"",ROUND($C$2-0.75*(DATEVALUE(A51)-DATEVALUE($A$2))/7,2))</f>
      </c>
      <c r="P51" s="6">
        <f>IF(OR(C51="",O51=""),"",ROUND(C51-O51,2))</f>
      </c>
      <c r="Q51" s="4">
        <f>IF(COUNTA(B51:N51)=0,"",IF(OR(B51="Yes",AND(D51&lt;&gt;"",D51&gt;=10)),1,0)+IF(OR(B51="Yes",F51="Yes",G51&lt;&gt;""),1,0)+IF(AND(I51&lt;&gt;"",I51&lt;=2200),1,0)+IF(M51="Yes",1,0))</f>
      </c>
    </row>
    <row r="52">
      <c r="O52" s="6">
        <f>IF(OR($C$2="",A52=""),"",ROUND($C$2-0.75*(DATEVALUE(A52)-DATEVALUE($A$2))/7,2))</f>
      </c>
      <c r="P52" s="6">
        <f>IF(OR(C52="",O52=""),"",ROUND(C52-O52,2))</f>
      </c>
      <c r="Q52" s="4">
        <f>IF(COUNTA(B52:N52)=0,"",IF(OR(B52="Yes",AND(D52&lt;&gt;"",D52&gt;=10)),1,0)+IF(OR(B52="Yes",F52="Yes",G52&lt;&gt;""),1,0)+IF(AND(I52&lt;&gt;"",I52&lt;=2200),1,0)+IF(M52="Yes",1,0))</f>
      </c>
    </row>
    <row r="53">
      <c r="O53" s="6">
        <f>IF(OR($C$2="",A53=""),"",ROUND($C$2-0.75*(DATEVALUE(A53)-DATEVALUE($A$2))/7,2))</f>
      </c>
      <c r="P53" s="6">
        <f>IF(OR(C53="",O53=""),"",ROUND(C53-O53,2))</f>
      </c>
      <c r="Q53" s="4">
        <f>IF(COUNTA(B53:N53)=0,"",IF(OR(B53="Yes",AND(D53&lt;&gt;"",D53&gt;=10)),1,0)+IF(OR(B53="Yes",F53="Yes",G53&lt;&gt;""),1,0)+IF(AND(I53&lt;&gt;"",I53&lt;=2200),1,0)+IF(M53="Yes",1,0))</f>
      </c>
    </row>
    <row r="54">
      <c r="O54" s="6">
        <f>IF(OR($C$2="",A54=""),"",ROUND($C$2-0.75*(DATEVALUE(A54)-DATEVALUE($A$2))/7,2))</f>
      </c>
      <c r="P54" s="6">
        <f>IF(OR(C54="",O54=""),"",ROUND(C54-O54,2))</f>
      </c>
      <c r="Q54" s="4">
        <f>IF(COUNTA(B54:N54)=0,"",IF(OR(B54="Yes",AND(D54&lt;&gt;"",D54&gt;=10)),1,0)+IF(OR(B54="Yes",F54="Yes",G54&lt;&gt;""),1,0)+IF(AND(I54&lt;&gt;"",I54&lt;=2200),1,0)+IF(M54="Yes",1,0))</f>
      </c>
    </row>
    <row r="55">
      <c r="O55" s="6">
        <f>IF(OR($C$2="",A55=""),"",ROUND($C$2-0.75*(DATEVALUE(A55)-DATEVALUE($A$2))/7,2))</f>
      </c>
      <c r="P55" s="6">
        <f>IF(OR(C55="",O55=""),"",ROUND(C55-O55,2))</f>
      </c>
      <c r="Q55" s="4">
        <f>IF(COUNTA(B55:N55)=0,"",IF(OR(B55="Yes",AND(D55&lt;&gt;"",D55&gt;=10)),1,0)+IF(OR(B55="Yes",F55="Yes",G55&lt;&gt;""),1,0)+IF(AND(I55&lt;&gt;"",I55&lt;=2200),1,0)+IF(M55="Yes",1,0))</f>
      </c>
    </row>
    <row r="56">
      <c r="O56" s="6">
        <f>IF(OR($C$2="",A56=""),"",ROUND($C$2-0.75*(DATEVALUE(A56)-DATEVALUE($A$2))/7,2))</f>
      </c>
      <c r="P56" s="6">
        <f>IF(OR(C56="",O56=""),"",ROUND(C56-O56,2))</f>
      </c>
      <c r="Q56" s="4">
        <f>IF(COUNTA(B56:N56)=0,"",IF(OR(B56="Yes",AND(D56&lt;&gt;"",D56&gt;=10)),1,0)+IF(OR(B56="Yes",F56="Yes",G56&lt;&gt;""),1,0)+IF(AND(I56&lt;&gt;"",I56&lt;=2200),1,0)+IF(M56="Yes",1,0))</f>
      </c>
    </row>
    <row r="57">
      <c r="O57" s="6">
        <f>IF(OR($C$2="",A57=""),"",ROUND($C$2-0.75*(DATEVALUE(A57)-DATEVALUE($A$2))/7,2))</f>
      </c>
      <c r="P57" s="6">
        <f>IF(OR(C57="",O57=""),"",ROUND(C57-O57,2))</f>
      </c>
      <c r="Q57" s="4">
        <f>IF(COUNTA(B57:N57)=0,"",IF(OR(B57="Yes",AND(D57&lt;&gt;"",D57&gt;=10)),1,0)+IF(OR(B57="Yes",F57="Yes",G57&lt;&gt;""),1,0)+IF(AND(I57&lt;&gt;"",I57&lt;=2200),1,0)+IF(M57="Yes",1,0))</f>
      </c>
    </row>
    <row r="58">
      <c r="O58" s="6">
        <f>IF(OR($C$2="",A58=""),"",ROUND($C$2-0.75*(DATEVALUE(A58)-DATEVALUE($A$2))/7,2))</f>
      </c>
      <c r="P58" s="6">
        <f>IF(OR(C58="",O58=""),"",ROUND(C58-O58,2))</f>
      </c>
      <c r="Q58" s="4">
        <f>IF(COUNTA(B58:N58)=0,"",IF(OR(B58="Yes",AND(D58&lt;&gt;"",D58&gt;=10)),1,0)+IF(OR(B58="Yes",F58="Yes",G58&lt;&gt;""),1,0)+IF(AND(I58&lt;&gt;"",I58&lt;=2200),1,0)+IF(M58="Yes",1,0))</f>
      </c>
    </row>
    <row r="59">
      <c r="O59" s="6">
        <f>IF(OR($C$2="",A59=""),"",ROUND($C$2-0.75*(DATEVALUE(A59)-DATEVALUE($A$2))/7,2))</f>
      </c>
      <c r="P59" s="6">
        <f>IF(OR(C59="",O59=""),"",ROUND(C59-O59,2))</f>
      </c>
      <c r="Q59" s="4">
        <f>IF(COUNTA(B59:N59)=0,"",IF(OR(B59="Yes",AND(D59&lt;&gt;"",D59&gt;=10)),1,0)+IF(OR(B59="Yes",F59="Yes",G59&lt;&gt;""),1,0)+IF(AND(I59&lt;&gt;"",I59&lt;=2200),1,0)+IF(M59="Yes",1,0))</f>
      </c>
    </row>
    <row r="60">
      <c r="O60" s="6">
        <f>IF(OR($C$2="",A60=""),"",ROUND($C$2-0.75*(DATEVALUE(A60)-DATEVALUE($A$2))/7,2))</f>
      </c>
      <c r="P60" s="6">
        <f>IF(OR(C60="",O60=""),"",ROUND(C60-O60,2))</f>
      </c>
      <c r="Q60" s="4">
        <f>IF(COUNTA(B60:N60)=0,"",IF(OR(B60="Yes",AND(D60&lt;&gt;"",D60&gt;=10)),1,0)+IF(OR(B60="Yes",F60="Yes",G60&lt;&gt;""),1,0)+IF(AND(I60&lt;&gt;"",I60&lt;=2200),1,0)+IF(M60="Yes",1,0))</f>
      </c>
    </row>
    <row r="61">
      <c r="O61" s="6">
        <f>IF(OR($C$2="",A61=""),"",ROUND($C$2-0.75*(DATEVALUE(A61)-DATEVALUE($A$2))/7,2))</f>
      </c>
      <c r="P61" s="6">
        <f>IF(OR(C61="",O61=""),"",ROUND(C61-O61,2))</f>
      </c>
      <c r="Q61" s="4">
        <f>IF(COUNTA(B61:N61)=0,"",IF(OR(B61="Yes",AND(D61&lt;&gt;"",D61&gt;=10)),1,0)+IF(OR(B61="Yes",F61="Yes",G61&lt;&gt;""),1,0)+IF(AND(I61&lt;&gt;"",I61&lt;=2200),1,0)+IF(M61="Yes",1,0))</f>
      </c>
    </row>
  </sheetData>
  <conditionalFormatting sqref="A2:A61">
    <cfRule type="expression" dxfId="5" priority="1">
      <formula>A2=TEXT(TODAY(),"yyyy-mm-dd")</formula>
    </cfRule>
  </conditionalFormatting>
  <conditionalFormatting sqref="B2:B61">
    <cfRule type="expression" dxfId="3" priority="2">
      <formula>B2="Yes"</formula>
    </cfRule>
  </conditionalFormatting>
  <conditionalFormatting sqref="D2:D61">
    <cfRule type="expression" dxfId="0" priority="3">
      <formula>AND(D2&lt;&gt;"",D2&gt;=10)</formula>
    </cfRule>
    <cfRule type="expression" dxfId="1" priority="4">
      <formula>AND(D2&lt;&gt;"",D2&gt;0,D2&lt;10)</formula>
    </cfRule>
  </conditionalFormatting>
  <conditionalFormatting sqref="F2:F61">
    <cfRule type="expression" dxfId="0" priority="5">
      <formula>F2="Yes"</formula>
    </cfRule>
  </conditionalFormatting>
  <conditionalFormatting sqref="I2:I61">
    <cfRule type="expression" dxfId="0" priority="6">
      <formula>AND(I2&lt;&gt;"",I2&lt;=2200)</formula>
    </cfRule>
    <cfRule type="expression" dxfId="2" priority="7">
      <formula>AND(I2&lt;&gt;"",I2&gt;2200)</formula>
    </cfRule>
  </conditionalFormatting>
  <conditionalFormatting sqref="M2:M61">
    <cfRule type="expression" dxfId="0" priority="8">
      <formula>M2="Yes"</formula>
    </cfRule>
  </conditionalFormatting>
  <conditionalFormatting sqref="P2:P61">
    <cfRule type="expression" dxfId="0" priority="9">
      <formula>AND(ISNUMBER(P2),P2&lt;=0)</formula>
    </cfRule>
    <cfRule type="expression" dxfId="1" priority="10">
      <formula>AND(ISNUMBER(P2),P2&gt;0,P2&lt;=0.3)</formula>
    </cfRule>
    <cfRule type="expression" dxfId="2" priority="11">
      <formula>AND(ISNUMBER(P2),P2&gt;0.3)</formula>
    </cfRule>
  </conditionalFormatting>
  <conditionalFormatting sqref="Q2:Q61">
    <cfRule type="expression" dxfId="0" priority="12">
      <formula>AND(ISNUMBER(Q2),Q2=4)</formula>
    </cfRule>
    <cfRule type="expression" dxfId="1" priority="13">
      <formula>AND(ISNUMBER(Q2),Q2=3)</formula>
    </cfRule>
    <cfRule type="expression" dxfId="2" priority="14">
      <formula>AND(ISNUMBER(Q2),Q2&lt;=2)</formula>
    </cfRule>
  </conditionalFormatting>
  <conditionalFormatting sqref="A2:N61">
    <cfRule type="expression" dxfId="4" priority="15">
      <formula>AND(ISNUMBER($Q2),$Q2=4)</formula>
    </cfRule>
  </conditionalFormatting>
  <dataValidations count="3">
    <dataValidation type="list" allowBlank="1" showErrorMessage="1" sqref="B2:B61">
      <formula1>"Yes,No"</formula1>
    </dataValidation>
    <dataValidation type="list" allowBlank="1" showErrorMessage="1" sqref="F2:F61">
      <formula1>"Yes,No"</formula1>
    </dataValidation>
    <dataValidation type="list" allowBlank="1" showErrorMessage="1" sqref="M2:M61">
      <formula1>"Yes,No"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50" customWidth="1"/>
  </cols>
  <sheetData>
    <row r="1">
      <c r="A1" s="1" t="inlineStr">
        <is>
          <t>Fat to Fit: how this sheet works</t>
        </is>
      </c>
    </row>
    <row r="2">
      <c r="A2" t="inlineStr">
        <is>
          <t>Fill ONE row per day in the "Daily log" tab. Columns A to N are yours; leave anything you did not do blank. Columns O to Q calculate themselves.</t>
        </is>
      </c>
    </row>
    <row r="3">
      <c r="A3" t="inlineStr">
        <is>
          <t>Rest day, Gym done and Vlog posted have a Yes/No dropdown. A rest day counts the run and gym as done.</t>
        </is>
      </c>
    </row>
    <row r="4">
      <c r="A4" t="inlineStr">
        <is>
          <t>A perfect day = run at 10 km or more + gym + calories at or under 2200 + vlog posted (score 4 of 4).</t>
        </is>
      </c>
    </row>
    <row r="5">
      <c r="A5" t="inlineStr">
        <is>
          <t>Weight target: lose 0.75 kg every week, measured from your Day 1 weight (row 2). Enter your Day 1 weight first.</t>
        </is>
      </c>
    </row>
    <row r="6">
      <c r="A6" t="inlineStr">
        <is>
          <t>Body parts: names separated by commas, e.g. chest, triceps (or "legs", "arms", "core"). Vlog link: an instagram.com reel link.</t>
        </is>
      </c>
    </row>
    <row r="7"/>
    <row r="8">
      <c r="A8" t="inlineStr">
        <is>
          <t>Colours</t>
        </is>
      </c>
    </row>
    <row r="9">
      <c r="A9" t="inlineStr">
        <is>
          <t>Green = target met (run, gym, calories in target, vlog, weight on or ahead of pace). Amber = close (short run, or up to 0.3 kg behind pace). Red = missed (over calories, more than 0.3 kg behind pace, score 2 or less).</t>
        </is>
      </c>
    </row>
    <row r="10">
      <c r="A10" t="inlineStr">
        <is>
          <t>Blue = rest day. A fully green row is a perfect day. The blue bold date is today.</t>
        </is>
      </c>
    </row>
    <row r="11"/>
    <row r="12">
      <c r="A12" t="inlineStr">
        <is>
          <t>To make the public page read this sheet</t>
        </is>
      </c>
    </row>
    <row r="13">
      <c r="A13" t="inlineStr">
        <is>
          <t>1. Google Sheets: File &gt; Share &gt; General access &gt; "Anyone with the link" and set the role to Viewer (never Editor).</t>
        </is>
      </c>
    </row>
    <row r="14">
      <c r="A14" t="inlineStr">
        <is>
          <t>2. The public page reads the first tab (Daily log). Keep that tab first and keep the header row as it is.</t>
        </is>
      </c>
    </row>
    <row r="15">
      <c r="A15" t="inlineStr">
        <is>
          <t>3. Edits show on the public page within a minute or two.</t>
        </is>
      </c>
    </row>
  </sheetData>
</worksheet>
</file>