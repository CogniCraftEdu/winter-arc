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log" sheetId="1" r:id="rId1"/>
    <sheet name="How to use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ddd d mmm yyyy"/>
    <numFmt numFmtId="165" formatCode="0.0#"/>
    <numFmt numFmtId="166" formatCode="0.00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6B72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font>
        <color rgb="FF166534"/>
      </font>
      <fill>
        <patternFill>
          <bgColor rgb="FFD1FAE5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E40AF"/>
      </font>
      <fill>
        <patternFill>
          <bgColor rgb="FFDBEAFE"/>
        </patternFill>
      </fill>
    </dxf>
    <dxf>
      <font/>
      <fill>
        <patternFill>
          <bgColor rgb="FFECFDF5"/>
        </patternFill>
      </fill>
    </dxf>
    <dxf>
      <font>
        <b/>
        <color rgb="FF1E40AF"/>
      </font>
      <fill>
        <patternFill>
          <bgColor rgb="FFBFDBF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13" customWidth="1"/>
    <col min="2" max="2" width="10" customWidth="1"/>
    <col min="3" max="3" width="12" customWidth="1"/>
    <col min="4" max="4" width="11" customWidth="1"/>
    <col min="5" max="5" width="10" customWidth="1"/>
    <col min="6" max="6" width="14" customWidth="1"/>
    <col min="7" max="7" width="10" customWidth="1"/>
    <col min="8" max="8" width="22" customWidth="1"/>
    <col min="9" max="9" width="28" customWidth="1"/>
    <col min="10" max="10" width="10" customWidth="1"/>
    <col min="11" max="11" width="11" customWidth="1"/>
    <col min="12" max="12" width="10" customWidth="1"/>
    <col min="13" max="13" width="8" customWidth="1"/>
    <col min="14" max="14" width="12" customWidth="1"/>
    <col min="15" max="15" width="40" customWidth="1"/>
    <col min="16" max="16" width="14" customWidth="1"/>
    <col min="17" max="17" width="12" customWidth="1"/>
    <col min="18" max="18" width="12" customWidth="1"/>
    <col min="19" max="19" width="12" customWidth="1" hidden="1"/>
    <col min="20" max="20" width="12" customWidth="1" hidden="1"/>
  </cols>
  <sheetData>
    <row r="1">
      <c r="A1" s="1" t="inlineStr">
        <is>
          <t>Date</t>
        </is>
      </c>
      <c r="B1" s="1" t="inlineStr">
        <is>
          <t>Rest day</t>
        </is>
      </c>
      <c r="C1" s="1" t="inlineStr">
        <is>
          <t>Weight (kg)</t>
        </is>
      </c>
      <c r="D1" s="1" t="inlineStr">
        <is>
          <t>Sleep (hrs)</t>
        </is>
      </c>
      <c r="E1" s="1" t="inlineStr">
        <is>
          <t>Steps</t>
        </is>
      </c>
      <c r="F1" s="1" t="inlineStr">
        <is>
          <t>Notes</t>
        </is>
      </c>
      <c r="G1" s="1" t="inlineStr">
        <is>
          <t>Gym done</t>
        </is>
      </c>
      <c r="H1" s="1" t="inlineStr">
        <is>
          <t>Workout</t>
        </is>
      </c>
      <c r="I1" s="1" t="inlineStr">
        <is>
          <t>Body parts</t>
        </is>
      </c>
      <c r="J1" s="1" t="inlineStr">
        <is>
          <t>Calories</t>
        </is>
      </c>
      <c r="K1" s="1" t="inlineStr">
        <is>
          <t>Protein (g)</t>
        </is>
      </c>
      <c r="L1" s="1" t="inlineStr">
        <is>
          <t>Carbs (g)</t>
        </is>
      </c>
      <c r="M1" s="1" t="inlineStr">
        <is>
          <t>Fat (g)</t>
        </is>
      </c>
      <c r="N1" s="1" t="inlineStr">
        <is>
          <t>Vlog posted</t>
        </is>
      </c>
      <c r="O1" s="1" t="inlineStr">
        <is>
          <t>Vlog link</t>
        </is>
      </c>
      <c r="P1" s="5" t="inlineStr">
        <is>
          <t>Target weight (auto)</t>
        </is>
      </c>
      <c r="Q1" s="5" t="inlineStr">
        <is>
          <t>Vs target (auto)</t>
        </is>
      </c>
      <c r="R1" s="5" t="inlineStr">
        <is>
          <t>Score of 4 (auto)</t>
        </is>
      </c>
      <c r="S1" s="5" t="inlineStr">
        <is>
          <t>First weigh-in (helper)</t>
        </is>
      </c>
      <c r="T1" s="5" t="inlineStr">
        <is>
          <t>Day number (helper)</t>
        </is>
      </c>
    </row>
    <row r="2">
      <c r="A2" t="inlineStr">
        <is>
          <t>2026-10-16</t>
        </is>
      </c>
      <c r="C2" s="3">
        <v>111</v>
      </c>
      <c r="E2" s="3">
        <v>11000</v>
      </c>
      <c r="G2" t="inlineStr">
        <is>
          <t>Yes</t>
        </is>
      </c>
      <c r="H2" t="inlineStr">
        <is>
          <t>Legs</t>
        </is>
      </c>
      <c r="I2" t="inlineStr">
        <is>
          <t>quads, hamstrings, glutes, calves</t>
        </is>
      </c>
      <c r="J2" s="3">
        <v>2400</v>
      </c>
      <c r="K2" s="3">
        <v>160</v>
      </c>
      <c r="L2" s="3">
        <v>260</v>
      </c>
      <c r="M2" s="3">
        <v>80</v>
      </c>
      <c r="N2" t="inlineStr">
        <is>
          <t>Yes</t>
        </is>
      </c>
      <c r="P2" s="6">
        <f>IF(OR(A2="",SUM($S$2:$S$161)=0),"",IF(T2&lt;SUMIF($S$2:$S$161,1,$T$2:$T$161),"",ROUND(SUMIF($S$2:$S$161,1,$C$2:$C$161)-0.75*(T2-SUMIF($S$2:$S$161,1,$T$2:$T$161))/7,2)))</f>
      </c>
      <c r="Q2" s="6">
        <f>IF(OR(C2="",P2=""),"",ROUND(C2-P2,2))</f>
      </c>
      <c r="R2" s="4">
        <f>IF(COUNTA(B2:O2)=0,"",IF(OR(B2="Yes",AND(E2&lt;&gt;"",E2&gt;=10000)),1,0)+IF(OR(B2="Yes",G2="Yes",H2&lt;&gt;""),1,0)+IF(AND(J2&lt;&gt;"",J2&lt;=2400),1,0)+IF(N2="Yes",1,0))</f>
      </c>
      <c r="S2" s="4">
        <f>IF(AND(ISNUMBER(C2),COUNT($C$2:C2)=1),1,0)</f>
      </c>
      <c r="T2" s="4">
        <f>IF(A2="","",DATEVALUE(A2))</f>
      </c>
    </row>
    <row r="3">
      <c r="A3" t="inlineStr">
        <is>
          <t>2026-10-17</t>
        </is>
      </c>
      <c r="C3" s="3">
        <v>110.9</v>
      </c>
      <c r="E3" s="3">
        <v>11000</v>
      </c>
      <c r="G3" t="inlineStr">
        <is>
          <t>Yes</t>
        </is>
      </c>
      <c r="H3" t="inlineStr">
        <is>
          <t>Push</t>
        </is>
      </c>
      <c r="I3" t="inlineStr">
        <is>
          <t>chest, shoulders, triceps</t>
        </is>
      </c>
      <c r="J3" s="3">
        <v>2400</v>
      </c>
      <c r="K3" s="3">
        <v>160</v>
      </c>
      <c r="L3" s="3">
        <v>260</v>
      </c>
      <c r="M3" s="3">
        <v>80</v>
      </c>
      <c r="N3" t="inlineStr">
        <is>
          <t>Yes</t>
        </is>
      </c>
      <c r="P3" s="6">
        <f>IF(OR(A3="",SUM($S$2:$S$161)=0),"",IF(T3&lt;SUMIF($S$2:$S$161,1,$T$2:$T$161),"",ROUND(SUMIF($S$2:$S$161,1,$C$2:$C$161)-0.75*(T3-SUMIF($S$2:$S$161,1,$T$2:$T$161))/7,2)))</f>
      </c>
      <c r="Q3" s="6">
        <f>IF(OR(C3="",P3=""),"",ROUND(C3-P3,2))</f>
      </c>
      <c r="R3" s="4">
        <f>IF(COUNTA(B3:O3)=0,"",IF(OR(B3="Yes",AND(E3&lt;&gt;"",E3&gt;=10000)),1,0)+IF(OR(B3="Yes",G3="Yes",H3&lt;&gt;""),1,0)+IF(AND(J3&lt;&gt;"",J3&lt;=2400),1,0)+IF(N3="Yes",1,0))</f>
      </c>
      <c r="S3" s="4">
        <f>IF(AND(ISNUMBER(C3),COUNT($C$2:C3)=1),1,0)</f>
      </c>
      <c r="T3" s="4">
        <f>IF(A3="","",DATEVALUE(A3))</f>
      </c>
    </row>
    <row r="4">
      <c r="A4" t="inlineStr">
        <is>
          <t>2026-10-18</t>
        </is>
      </c>
      <c r="C4" s="3">
        <v>110.5</v>
      </c>
      <c r="E4" s="3">
        <v>11000</v>
      </c>
      <c r="G4" t="inlineStr">
        <is>
          <t>Yes</t>
        </is>
      </c>
      <c r="H4" t="inlineStr">
        <is>
          <t>Pull</t>
        </is>
      </c>
      <c r="I4" t="inlineStr">
        <is>
          <t>back, biceps, forearms</t>
        </is>
      </c>
      <c r="J4" s="3">
        <v>2400</v>
      </c>
      <c r="K4" s="3">
        <v>160</v>
      </c>
      <c r="L4" s="3">
        <v>260</v>
      </c>
      <c r="M4" s="3">
        <v>80</v>
      </c>
      <c r="N4" t="inlineStr">
        <is>
          <t>Yes</t>
        </is>
      </c>
      <c r="P4" s="6">
        <f>IF(OR(A4="",SUM($S$2:$S$161)=0),"",IF(T4&lt;SUMIF($S$2:$S$161,1,$T$2:$T$161),"",ROUND(SUMIF($S$2:$S$161,1,$C$2:$C$161)-0.75*(T4-SUMIF($S$2:$S$161,1,$T$2:$T$161))/7,2)))</f>
      </c>
      <c r="Q4" s="6">
        <f>IF(OR(C4="",P4=""),"",ROUND(C4-P4,2))</f>
      </c>
      <c r="R4" s="4">
        <f>IF(COUNTA(B4:O4)=0,"",IF(OR(B4="Yes",AND(E4&lt;&gt;"",E4&gt;=10000)),1,0)+IF(OR(B4="Yes",G4="Yes",H4&lt;&gt;""),1,0)+IF(AND(J4&lt;&gt;"",J4&lt;=2400),1,0)+IF(N4="Yes",1,0))</f>
      </c>
      <c r="S4" s="4">
        <f>IF(AND(ISNUMBER(C4),COUNT($C$2:C4)=1),1,0)</f>
      </c>
      <c r="T4" s="4">
        <f>IF(A4="","",DATEVALUE(A4))</f>
      </c>
    </row>
    <row r="5">
      <c r="A5" t="inlineStr">
        <is>
          <t>2026-10-19</t>
        </is>
      </c>
      <c r="C5" s="3">
        <v>110.4</v>
      </c>
      <c r="E5" s="3">
        <v>11000</v>
      </c>
      <c r="G5" t="inlineStr">
        <is>
          <t>Yes</t>
        </is>
      </c>
      <c r="H5" t="inlineStr">
        <is>
          <t>Legs</t>
        </is>
      </c>
      <c r="I5" t="inlineStr">
        <is>
          <t>quads, hamstrings, glutes, calves</t>
        </is>
      </c>
      <c r="J5" s="3">
        <v>2400</v>
      </c>
      <c r="K5" s="3">
        <v>160</v>
      </c>
      <c r="L5" s="3">
        <v>260</v>
      </c>
      <c r="M5" s="3">
        <v>80</v>
      </c>
      <c r="N5" t="inlineStr">
        <is>
          <t>Yes</t>
        </is>
      </c>
      <c r="P5" s="6">
        <f>IF(OR(A5="",SUM($S$2:$S$161)=0),"",IF(T5&lt;SUMIF($S$2:$S$161,1,$T$2:$T$161),"",ROUND(SUMIF($S$2:$S$161,1,$C$2:$C$161)-0.75*(T5-SUMIF($S$2:$S$161,1,$T$2:$T$161))/7,2)))</f>
      </c>
      <c r="Q5" s="6">
        <f>IF(OR(C5="",P5=""),"",ROUND(C5-P5,2))</f>
      </c>
      <c r="R5" s="4">
        <f>IF(COUNTA(B5:O5)=0,"",IF(OR(B5="Yes",AND(E5&lt;&gt;"",E5&gt;=10000)),1,0)+IF(OR(B5="Yes",G5="Yes",H5&lt;&gt;""),1,0)+IF(AND(J5&lt;&gt;"",J5&lt;=2400),1,0)+IF(N5="Yes",1,0))</f>
      </c>
      <c r="S5" s="4">
        <f>IF(AND(ISNUMBER(C5),COUNT($C$2:C5)=1),1,0)</f>
      </c>
      <c r="T5" s="4">
        <f>IF(A5="","",DATEVALUE(A5))</f>
      </c>
    </row>
    <row r="6">
      <c r="A6" t="inlineStr">
        <is>
          <t>2026-10-20</t>
        </is>
      </c>
      <c r="C6" s="3">
        <v>110.1</v>
      </c>
      <c r="E6" s="3">
        <v>11000</v>
      </c>
      <c r="G6" t="inlineStr">
        <is>
          <t>Yes</t>
        </is>
      </c>
      <c r="H6" t="inlineStr">
        <is>
          <t>Push</t>
        </is>
      </c>
      <c r="I6" t="inlineStr">
        <is>
          <t>chest, shoulders, triceps</t>
        </is>
      </c>
      <c r="J6" s="3">
        <v>2400</v>
      </c>
      <c r="K6" s="3">
        <v>160</v>
      </c>
      <c r="L6" s="3">
        <v>260</v>
      </c>
      <c r="M6" s="3">
        <v>80</v>
      </c>
      <c r="N6" t="inlineStr">
        <is>
          <t>Yes</t>
        </is>
      </c>
      <c r="P6" s="6">
        <f>IF(OR(A6="",SUM($S$2:$S$161)=0),"",IF(T6&lt;SUMIF($S$2:$S$161,1,$T$2:$T$161),"",ROUND(SUMIF($S$2:$S$161,1,$C$2:$C$161)-0.75*(T6-SUMIF($S$2:$S$161,1,$T$2:$T$161))/7,2)))</f>
      </c>
      <c r="Q6" s="6">
        <f>IF(OR(C6="",P6=""),"",ROUND(C6-P6,2))</f>
      </c>
      <c r="R6" s="4">
        <f>IF(COUNTA(B6:O6)=0,"",IF(OR(B6="Yes",AND(E6&lt;&gt;"",E6&gt;=10000)),1,0)+IF(OR(B6="Yes",G6="Yes",H6&lt;&gt;""),1,0)+IF(AND(J6&lt;&gt;"",J6&lt;=2400),1,0)+IF(N6="Yes",1,0))</f>
      </c>
      <c r="S6" s="4">
        <f>IF(AND(ISNUMBER(C6),COUNT($C$2:C6)=1),1,0)</f>
      </c>
      <c r="T6" s="4">
        <f>IF(A6="","",DATEVALUE(A6))</f>
      </c>
    </row>
    <row r="7">
      <c r="A7" t="inlineStr">
        <is>
          <t>2026-10-21</t>
        </is>
      </c>
      <c r="B7" t="inlineStr">
        <is>
          <t>Yes</t>
        </is>
      </c>
      <c r="C7" s="3">
        <v>110</v>
      </c>
      <c r="H7" t="inlineStr">
        <is>
          <t>Rest</t>
        </is>
      </c>
      <c r="J7" s="3">
        <v>2400</v>
      </c>
      <c r="K7" s="3">
        <v>160</v>
      </c>
      <c r="L7" s="3">
        <v>260</v>
      </c>
      <c r="M7" s="3">
        <v>80</v>
      </c>
      <c r="N7" t="inlineStr">
        <is>
          <t>Yes</t>
        </is>
      </c>
      <c r="P7" s="6">
        <f>IF(OR(A7="",SUM($S$2:$S$161)=0),"",IF(T7&lt;SUMIF($S$2:$S$161,1,$T$2:$T$161),"",ROUND(SUMIF($S$2:$S$161,1,$C$2:$C$161)-0.75*(T7-SUMIF($S$2:$S$161,1,$T$2:$T$161))/7,2)))</f>
      </c>
      <c r="Q7" s="6">
        <f>IF(OR(C7="",P7=""),"",ROUND(C7-P7,2))</f>
      </c>
      <c r="R7" s="4">
        <f>IF(COUNTA(B7:O7)=0,"",IF(OR(B7="Yes",AND(E7&lt;&gt;"",E7&gt;=10000)),1,0)+IF(OR(B7="Yes",G7="Yes",H7&lt;&gt;""),1,0)+IF(AND(J7&lt;&gt;"",J7&lt;=2400),1,0)+IF(N7="Yes",1,0))</f>
      </c>
      <c r="S7" s="4">
        <f>IF(AND(ISNUMBER(C7),COUNT($C$2:C7)=1),1,0)</f>
      </c>
      <c r="T7" s="4">
        <f>IF(A7="","",DATEVALUE(A7))</f>
      </c>
    </row>
    <row r="8">
      <c r="A8" t="inlineStr">
        <is>
          <t>2026-10-22</t>
        </is>
      </c>
      <c r="C8" s="3">
        <v>109.7</v>
      </c>
      <c r="E8" s="3">
        <v>11000</v>
      </c>
      <c r="G8" t="inlineStr">
        <is>
          <t>Yes</t>
        </is>
      </c>
      <c r="H8" t="inlineStr">
        <is>
          <t>Pull</t>
        </is>
      </c>
      <c r="I8" t="inlineStr">
        <is>
          <t>back, biceps, forearms</t>
        </is>
      </c>
      <c r="J8" s="3">
        <v>2400</v>
      </c>
      <c r="K8" s="3">
        <v>160</v>
      </c>
      <c r="L8" s="3">
        <v>260</v>
      </c>
      <c r="M8" s="3">
        <v>80</v>
      </c>
      <c r="N8" t="inlineStr">
        <is>
          <t>Yes</t>
        </is>
      </c>
      <c r="P8" s="6">
        <f>IF(OR(A8="",SUM($S$2:$S$161)=0),"",IF(T8&lt;SUMIF($S$2:$S$161,1,$T$2:$T$161),"",ROUND(SUMIF($S$2:$S$161,1,$C$2:$C$161)-0.75*(T8-SUMIF($S$2:$S$161,1,$T$2:$T$161))/7,2)))</f>
      </c>
      <c r="Q8" s="6">
        <f>IF(OR(C8="",P8=""),"",ROUND(C8-P8,2))</f>
      </c>
      <c r="R8" s="4">
        <f>IF(COUNTA(B8:O8)=0,"",IF(OR(B8="Yes",AND(E8&lt;&gt;"",E8&gt;=10000)),1,0)+IF(OR(B8="Yes",G8="Yes",H8&lt;&gt;""),1,0)+IF(AND(J8&lt;&gt;"",J8&lt;=2400),1,0)+IF(N8="Yes",1,0))</f>
      </c>
      <c r="S8" s="4">
        <f>IF(AND(ISNUMBER(C8),COUNT($C$2:C8)=1),1,0)</f>
      </c>
      <c r="T8" s="4">
        <f>IF(A8="","",DATEVALUE(A8))</f>
      </c>
    </row>
    <row r="9">
      <c r="A9" t="inlineStr">
        <is>
          <t>2026-10-23</t>
        </is>
      </c>
      <c r="C9" s="3">
        <v>109.6</v>
      </c>
      <c r="E9" s="3">
        <v>11000</v>
      </c>
      <c r="G9" t="inlineStr">
        <is>
          <t>Yes</t>
        </is>
      </c>
      <c r="H9" t="inlineStr">
        <is>
          <t>Legs</t>
        </is>
      </c>
      <c r="I9" t="inlineStr">
        <is>
          <t>quads, hamstrings, glutes, calves</t>
        </is>
      </c>
      <c r="J9" s="3">
        <v>2400</v>
      </c>
      <c r="K9" s="3">
        <v>160</v>
      </c>
      <c r="L9" s="3">
        <v>260</v>
      </c>
      <c r="M9" s="3">
        <v>80</v>
      </c>
      <c r="N9" t="inlineStr">
        <is>
          <t>Yes</t>
        </is>
      </c>
      <c r="P9" s="6">
        <f>IF(OR(A9="",SUM($S$2:$S$161)=0),"",IF(T9&lt;SUMIF($S$2:$S$161,1,$T$2:$T$161),"",ROUND(SUMIF($S$2:$S$161,1,$C$2:$C$161)-0.75*(T9-SUMIF($S$2:$S$161,1,$T$2:$T$161))/7,2)))</f>
      </c>
      <c r="Q9" s="6">
        <f>IF(OR(C9="",P9=""),"",ROUND(C9-P9,2))</f>
      </c>
      <c r="R9" s="4">
        <f>IF(COUNTA(B9:O9)=0,"",IF(OR(B9="Yes",AND(E9&lt;&gt;"",E9&gt;=10000)),1,0)+IF(OR(B9="Yes",G9="Yes",H9&lt;&gt;""),1,0)+IF(AND(J9&lt;&gt;"",J9&lt;=2400),1,0)+IF(N9="Yes",1,0))</f>
      </c>
      <c r="S9" s="4">
        <f>IF(AND(ISNUMBER(C9),COUNT($C$2:C9)=1),1,0)</f>
      </c>
      <c r="T9" s="4">
        <f>IF(A9="","",DATEVALUE(A9))</f>
      </c>
    </row>
    <row r="10">
      <c r="A10" t="inlineStr">
        <is>
          <t>2026-10-24</t>
        </is>
      </c>
      <c r="C10" s="3">
        <v>109.4</v>
      </c>
      <c r="E10" s="3">
        <v>11000</v>
      </c>
      <c r="G10" t="inlineStr">
        <is>
          <t>Yes</t>
        </is>
      </c>
      <c r="H10" t="inlineStr">
        <is>
          <t>Push</t>
        </is>
      </c>
      <c r="I10" t="inlineStr">
        <is>
          <t>chest, shoulders, triceps</t>
        </is>
      </c>
      <c r="J10" s="3">
        <v>2400</v>
      </c>
      <c r="K10" s="3">
        <v>160</v>
      </c>
      <c r="L10" s="3">
        <v>260</v>
      </c>
      <c r="M10" s="3">
        <v>80</v>
      </c>
      <c r="N10" t="inlineStr">
        <is>
          <t>Yes</t>
        </is>
      </c>
      <c r="P10" s="6">
        <f>IF(OR(A10="",SUM($S$2:$S$161)=0),"",IF(T10&lt;SUMIF($S$2:$S$161,1,$T$2:$T$161),"",ROUND(SUMIF($S$2:$S$161,1,$C$2:$C$161)-0.75*(T10-SUMIF($S$2:$S$161,1,$T$2:$T$161))/7,2)))</f>
      </c>
      <c r="Q10" s="6">
        <f>IF(OR(C10="",P10=""),"",ROUND(C10-P10,2))</f>
      </c>
      <c r="R10" s="4">
        <f>IF(COUNTA(B10:O10)=0,"",IF(OR(B10="Yes",AND(E10&lt;&gt;"",E10&gt;=10000)),1,0)+IF(OR(B10="Yes",G10="Yes",H10&lt;&gt;""),1,0)+IF(AND(J10&lt;&gt;"",J10&lt;=2400),1,0)+IF(N10="Yes",1,0))</f>
      </c>
      <c r="S10" s="4">
        <f>IF(AND(ISNUMBER(C10),COUNT($C$2:C10)=1),1,0)</f>
      </c>
      <c r="T10" s="4">
        <f>IF(A10="","",DATEVALUE(A10))</f>
      </c>
    </row>
    <row r="11">
      <c r="A11" t="inlineStr">
        <is>
          <t>2026-10-25</t>
        </is>
      </c>
      <c r="B11" t="inlineStr">
        <is>
          <t>Yes</t>
        </is>
      </c>
      <c r="C11" s="3">
        <v>109.2</v>
      </c>
      <c r="H11" t="inlineStr">
        <is>
          <t>Rest</t>
        </is>
      </c>
      <c r="J11" s="3">
        <v>2400</v>
      </c>
      <c r="K11" s="3">
        <v>160</v>
      </c>
      <c r="L11" s="3">
        <v>260</v>
      </c>
      <c r="M11" s="3">
        <v>80</v>
      </c>
      <c r="N11" t="inlineStr">
        <is>
          <t>No</t>
        </is>
      </c>
      <c r="P11" s="6">
        <f>IF(OR(A11="",SUM($S$2:$S$161)=0),"",IF(T11&lt;SUMIF($S$2:$S$161,1,$T$2:$T$161),"",ROUND(SUMIF($S$2:$S$161,1,$C$2:$C$161)-0.75*(T11-SUMIF($S$2:$S$161,1,$T$2:$T$161))/7,2)))</f>
      </c>
      <c r="Q11" s="6">
        <f>IF(OR(C11="",P11=""),"",ROUND(C11-P11,2))</f>
      </c>
      <c r="R11" s="4">
        <f>IF(COUNTA(B11:O11)=0,"",IF(OR(B11="Yes",AND(E11&lt;&gt;"",E11&gt;=10000)),1,0)+IF(OR(B11="Yes",G11="Yes",H11&lt;&gt;""),1,0)+IF(AND(J11&lt;&gt;"",J11&lt;=2400),1,0)+IF(N11="Yes",1,0))</f>
      </c>
      <c r="S11" s="4">
        <f>IF(AND(ISNUMBER(C11),COUNT($C$2:C11)=1),1,0)</f>
      </c>
      <c r="T11" s="4">
        <f>IF(A11="","",DATEVALUE(A11))</f>
      </c>
    </row>
    <row r="12">
      <c r="A12" t="inlineStr">
        <is>
          <t>2026-10-26</t>
        </is>
      </c>
      <c r="P12" s="6">
        <f>IF(OR(A12="",SUM($S$2:$S$161)=0),"",IF(T12&lt;SUMIF($S$2:$S$161,1,$T$2:$T$161),"",ROUND(SUMIF($S$2:$S$161,1,$C$2:$C$161)-0.75*(T12-SUMIF($S$2:$S$161,1,$T$2:$T$161))/7,2)))</f>
      </c>
      <c r="Q12" s="6">
        <f>IF(OR(C12="",P12=""),"",ROUND(C12-P12,2))</f>
      </c>
      <c r="R12" s="4">
        <f>IF(COUNTA(B12:O12)=0,"",IF(OR(B12="Yes",AND(E12&lt;&gt;"",E12&gt;=10000)),1,0)+IF(OR(B12="Yes",G12="Yes",H12&lt;&gt;""),1,0)+IF(AND(J12&lt;&gt;"",J12&lt;=2400),1,0)+IF(N12="Yes",1,0))</f>
      </c>
      <c r="S12" s="4">
        <f>IF(AND(ISNUMBER(C12),COUNT($C$2:C12)=1),1,0)</f>
      </c>
      <c r="T12" s="4">
        <f>IF(A12="","",DATEVALUE(A12))</f>
      </c>
    </row>
    <row r="13">
      <c r="A13" t="inlineStr">
        <is>
          <t>2026-10-27</t>
        </is>
      </c>
      <c r="P13" s="6">
        <f>IF(OR(A13="",SUM($S$2:$S$161)=0),"",IF(T13&lt;SUMIF($S$2:$S$161,1,$T$2:$T$161),"",ROUND(SUMIF($S$2:$S$161,1,$C$2:$C$161)-0.75*(T13-SUMIF($S$2:$S$161,1,$T$2:$T$161))/7,2)))</f>
      </c>
      <c r="Q13" s="6">
        <f>IF(OR(C13="",P13=""),"",ROUND(C13-P13,2))</f>
      </c>
      <c r="R13" s="4">
        <f>IF(COUNTA(B13:O13)=0,"",IF(OR(B13="Yes",AND(E13&lt;&gt;"",E13&gt;=10000)),1,0)+IF(OR(B13="Yes",G13="Yes",H13&lt;&gt;""),1,0)+IF(AND(J13&lt;&gt;"",J13&lt;=2400),1,0)+IF(N13="Yes",1,0))</f>
      </c>
      <c r="S13" s="4">
        <f>IF(AND(ISNUMBER(C13),COUNT($C$2:C13)=1),1,0)</f>
      </c>
      <c r="T13" s="4">
        <f>IF(A13="","",DATEVALUE(A13))</f>
      </c>
    </row>
    <row r="14">
      <c r="A14" t="inlineStr">
        <is>
          <t>2026-10-28</t>
        </is>
      </c>
      <c r="P14" s="6">
        <f>IF(OR(A14="",SUM($S$2:$S$161)=0),"",IF(T14&lt;SUMIF($S$2:$S$161,1,$T$2:$T$161),"",ROUND(SUMIF($S$2:$S$161,1,$C$2:$C$161)-0.75*(T14-SUMIF($S$2:$S$161,1,$T$2:$T$161))/7,2)))</f>
      </c>
      <c r="Q14" s="6">
        <f>IF(OR(C14="",P14=""),"",ROUND(C14-P14,2))</f>
      </c>
      <c r="R14" s="4">
        <f>IF(COUNTA(B14:O14)=0,"",IF(OR(B14="Yes",AND(E14&lt;&gt;"",E14&gt;=10000)),1,0)+IF(OR(B14="Yes",G14="Yes",H14&lt;&gt;""),1,0)+IF(AND(J14&lt;&gt;"",J14&lt;=2400),1,0)+IF(N14="Yes",1,0))</f>
      </c>
      <c r="S14" s="4">
        <f>IF(AND(ISNUMBER(C14),COUNT($C$2:C14)=1),1,0)</f>
      </c>
      <c r="T14" s="4">
        <f>IF(A14="","",DATEVALUE(A14))</f>
      </c>
    </row>
    <row r="15">
      <c r="A15" t="inlineStr">
        <is>
          <t>2026-10-29</t>
        </is>
      </c>
      <c r="P15" s="6">
        <f>IF(OR(A15="",SUM($S$2:$S$161)=0),"",IF(T15&lt;SUMIF($S$2:$S$161,1,$T$2:$T$161),"",ROUND(SUMIF($S$2:$S$161,1,$C$2:$C$161)-0.75*(T15-SUMIF($S$2:$S$161,1,$T$2:$T$161))/7,2)))</f>
      </c>
      <c r="Q15" s="6">
        <f>IF(OR(C15="",P15=""),"",ROUND(C15-P15,2))</f>
      </c>
      <c r="R15" s="4">
        <f>IF(COUNTA(B15:O15)=0,"",IF(OR(B15="Yes",AND(E15&lt;&gt;"",E15&gt;=10000)),1,0)+IF(OR(B15="Yes",G15="Yes",H15&lt;&gt;""),1,0)+IF(AND(J15&lt;&gt;"",J15&lt;=2400),1,0)+IF(N15="Yes",1,0))</f>
      </c>
      <c r="S15" s="4">
        <f>IF(AND(ISNUMBER(C15),COUNT($C$2:C15)=1),1,0)</f>
      </c>
      <c r="T15" s="4">
        <f>IF(A15="","",DATEVALUE(A15))</f>
      </c>
    </row>
    <row r="16">
      <c r="A16" t="inlineStr">
        <is>
          <t>2026-10-30</t>
        </is>
      </c>
      <c r="P16" s="6">
        <f>IF(OR(A16="",SUM($S$2:$S$161)=0),"",IF(T16&lt;SUMIF($S$2:$S$161,1,$T$2:$T$161),"",ROUND(SUMIF($S$2:$S$161,1,$C$2:$C$161)-0.75*(T16-SUMIF($S$2:$S$161,1,$T$2:$T$161))/7,2)))</f>
      </c>
      <c r="Q16" s="6">
        <f>IF(OR(C16="",P16=""),"",ROUND(C16-P16,2))</f>
      </c>
      <c r="R16" s="4">
        <f>IF(COUNTA(B16:O16)=0,"",IF(OR(B16="Yes",AND(E16&lt;&gt;"",E16&gt;=10000)),1,0)+IF(OR(B16="Yes",G16="Yes",H16&lt;&gt;""),1,0)+IF(AND(J16&lt;&gt;"",J16&lt;=2400),1,0)+IF(N16="Yes",1,0))</f>
      </c>
      <c r="S16" s="4">
        <f>IF(AND(ISNUMBER(C16),COUNT($C$2:C16)=1),1,0)</f>
      </c>
      <c r="T16" s="4">
        <f>IF(A16="","",DATEVALUE(A16))</f>
      </c>
    </row>
    <row r="17">
      <c r="A17" t="inlineStr">
        <is>
          <t>2026-10-31</t>
        </is>
      </c>
      <c r="P17" s="6">
        <f>IF(OR(A17="",SUM($S$2:$S$161)=0),"",IF(T17&lt;SUMIF($S$2:$S$161,1,$T$2:$T$161),"",ROUND(SUMIF($S$2:$S$161,1,$C$2:$C$161)-0.75*(T17-SUMIF($S$2:$S$161,1,$T$2:$T$161))/7,2)))</f>
      </c>
      <c r="Q17" s="6">
        <f>IF(OR(C17="",P17=""),"",ROUND(C17-P17,2))</f>
      </c>
      <c r="R17" s="4">
        <f>IF(COUNTA(B17:O17)=0,"",IF(OR(B17="Yes",AND(E17&lt;&gt;"",E17&gt;=10000)),1,0)+IF(OR(B17="Yes",G17="Yes",H17&lt;&gt;""),1,0)+IF(AND(J17&lt;&gt;"",J17&lt;=2400),1,0)+IF(N17="Yes",1,0))</f>
      </c>
      <c r="S17" s="4">
        <f>IF(AND(ISNUMBER(C17),COUNT($C$2:C17)=1),1,0)</f>
      </c>
      <c r="T17" s="4">
        <f>IF(A17="","",DATEVALUE(A17))</f>
      </c>
    </row>
    <row r="18">
      <c r="A18" t="inlineStr">
        <is>
          <t>2026-11-01</t>
        </is>
      </c>
      <c r="P18" s="6">
        <f>IF(OR(A18="",SUM($S$2:$S$161)=0),"",IF(T18&lt;SUMIF($S$2:$S$161,1,$T$2:$T$161),"",ROUND(SUMIF($S$2:$S$161,1,$C$2:$C$161)-0.75*(T18-SUMIF($S$2:$S$161,1,$T$2:$T$161))/7,2)))</f>
      </c>
      <c r="Q18" s="6">
        <f>IF(OR(C18="",P18=""),"",ROUND(C18-P18,2))</f>
      </c>
      <c r="R18" s="4">
        <f>IF(COUNTA(B18:O18)=0,"",IF(OR(B18="Yes",AND(E18&lt;&gt;"",E18&gt;=10000)),1,0)+IF(OR(B18="Yes",G18="Yes",H18&lt;&gt;""),1,0)+IF(AND(J18&lt;&gt;"",J18&lt;=2400),1,0)+IF(N18="Yes",1,0))</f>
      </c>
      <c r="S18" s="4">
        <f>IF(AND(ISNUMBER(C18),COUNT($C$2:C18)=1),1,0)</f>
      </c>
      <c r="T18" s="4">
        <f>IF(A18="","",DATEVALUE(A18))</f>
      </c>
    </row>
    <row r="19">
      <c r="A19" t="inlineStr">
        <is>
          <t>2026-11-02</t>
        </is>
      </c>
      <c r="P19" s="6">
        <f>IF(OR(A19="",SUM($S$2:$S$161)=0),"",IF(T19&lt;SUMIF($S$2:$S$161,1,$T$2:$T$161),"",ROUND(SUMIF($S$2:$S$161,1,$C$2:$C$161)-0.75*(T19-SUMIF($S$2:$S$161,1,$T$2:$T$161))/7,2)))</f>
      </c>
      <c r="Q19" s="6">
        <f>IF(OR(C19="",P19=""),"",ROUND(C19-P19,2))</f>
      </c>
      <c r="R19" s="4">
        <f>IF(COUNTA(B19:O19)=0,"",IF(OR(B19="Yes",AND(E19&lt;&gt;"",E19&gt;=10000)),1,0)+IF(OR(B19="Yes",G19="Yes",H19&lt;&gt;""),1,0)+IF(AND(J19&lt;&gt;"",J19&lt;=2400),1,0)+IF(N19="Yes",1,0))</f>
      </c>
      <c r="S19" s="4">
        <f>IF(AND(ISNUMBER(C19),COUNT($C$2:C19)=1),1,0)</f>
      </c>
      <c r="T19" s="4">
        <f>IF(A19="","",DATEVALUE(A19))</f>
      </c>
    </row>
    <row r="20">
      <c r="A20" t="inlineStr">
        <is>
          <t>2026-11-03</t>
        </is>
      </c>
      <c r="P20" s="6">
        <f>IF(OR(A20="",SUM($S$2:$S$161)=0),"",IF(T20&lt;SUMIF($S$2:$S$161,1,$T$2:$T$161),"",ROUND(SUMIF($S$2:$S$161,1,$C$2:$C$161)-0.75*(T20-SUMIF($S$2:$S$161,1,$T$2:$T$161))/7,2)))</f>
      </c>
      <c r="Q20" s="6">
        <f>IF(OR(C20="",P20=""),"",ROUND(C20-P20,2))</f>
      </c>
      <c r="R20" s="4">
        <f>IF(COUNTA(B20:O20)=0,"",IF(OR(B20="Yes",AND(E20&lt;&gt;"",E20&gt;=10000)),1,0)+IF(OR(B20="Yes",G20="Yes",H20&lt;&gt;""),1,0)+IF(AND(J20&lt;&gt;"",J20&lt;=2400),1,0)+IF(N20="Yes",1,0))</f>
      </c>
      <c r="S20" s="4">
        <f>IF(AND(ISNUMBER(C20),COUNT($C$2:C20)=1),1,0)</f>
      </c>
      <c r="T20" s="4">
        <f>IF(A20="","",DATEVALUE(A20))</f>
      </c>
    </row>
    <row r="21">
      <c r="A21" t="inlineStr">
        <is>
          <t>2026-11-04</t>
        </is>
      </c>
      <c r="P21" s="6">
        <f>IF(OR(A21="",SUM($S$2:$S$161)=0),"",IF(T21&lt;SUMIF($S$2:$S$161,1,$T$2:$T$161),"",ROUND(SUMIF($S$2:$S$161,1,$C$2:$C$161)-0.75*(T21-SUMIF($S$2:$S$161,1,$T$2:$T$161))/7,2)))</f>
      </c>
      <c r="Q21" s="6">
        <f>IF(OR(C21="",P21=""),"",ROUND(C21-P21,2))</f>
      </c>
      <c r="R21" s="4">
        <f>IF(COUNTA(B21:O21)=0,"",IF(OR(B21="Yes",AND(E21&lt;&gt;"",E21&gt;=10000)),1,0)+IF(OR(B21="Yes",G21="Yes",H21&lt;&gt;""),1,0)+IF(AND(J21&lt;&gt;"",J21&lt;=2400),1,0)+IF(N21="Yes",1,0))</f>
      </c>
      <c r="S21" s="4">
        <f>IF(AND(ISNUMBER(C21),COUNT($C$2:C21)=1),1,0)</f>
      </c>
      <c r="T21" s="4">
        <f>IF(A21="","",DATEVALUE(A21))</f>
      </c>
    </row>
    <row r="22">
      <c r="A22" t="inlineStr">
        <is>
          <t>2026-11-05</t>
        </is>
      </c>
      <c r="P22" s="6">
        <f>IF(OR(A22="",SUM($S$2:$S$161)=0),"",IF(T22&lt;SUMIF($S$2:$S$161,1,$T$2:$T$161),"",ROUND(SUMIF($S$2:$S$161,1,$C$2:$C$161)-0.75*(T22-SUMIF($S$2:$S$161,1,$T$2:$T$161))/7,2)))</f>
      </c>
      <c r="Q22" s="6">
        <f>IF(OR(C22="",P22=""),"",ROUND(C22-P22,2))</f>
      </c>
      <c r="R22" s="4">
        <f>IF(COUNTA(B22:O22)=0,"",IF(OR(B22="Yes",AND(E22&lt;&gt;"",E22&gt;=10000)),1,0)+IF(OR(B22="Yes",G22="Yes",H22&lt;&gt;""),1,0)+IF(AND(J22&lt;&gt;"",J22&lt;=2400),1,0)+IF(N22="Yes",1,0))</f>
      </c>
      <c r="S22" s="4">
        <f>IF(AND(ISNUMBER(C22),COUNT($C$2:C22)=1),1,0)</f>
      </c>
      <c r="T22" s="4">
        <f>IF(A22="","",DATEVALUE(A22))</f>
      </c>
    </row>
    <row r="23">
      <c r="A23" t="inlineStr">
        <is>
          <t>2026-11-06</t>
        </is>
      </c>
      <c r="P23" s="6">
        <f>IF(OR(A23="",SUM($S$2:$S$161)=0),"",IF(T23&lt;SUMIF($S$2:$S$161,1,$T$2:$T$161),"",ROUND(SUMIF($S$2:$S$161,1,$C$2:$C$161)-0.75*(T23-SUMIF($S$2:$S$161,1,$T$2:$T$161))/7,2)))</f>
      </c>
      <c r="Q23" s="6">
        <f>IF(OR(C23="",P23=""),"",ROUND(C23-P23,2))</f>
      </c>
      <c r="R23" s="4">
        <f>IF(COUNTA(B23:O23)=0,"",IF(OR(B23="Yes",AND(E23&lt;&gt;"",E23&gt;=10000)),1,0)+IF(OR(B23="Yes",G23="Yes",H23&lt;&gt;""),1,0)+IF(AND(J23&lt;&gt;"",J23&lt;=2400),1,0)+IF(N23="Yes",1,0))</f>
      </c>
      <c r="S23" s="4">
        <f>IF(AND(ISNUMBER(C23),COUNT($C$2:C23)=1),1,0)</f>
      </c>
      <c r="T23" s="4">
        <f>IF(A23="","",DATEVALUE(A23))</f>
      </c>
    </row>
    <row r="24">
      <c r="A24" t="inlineStr">
        <is>
          <t>2026-11-07</t>
        </is>
      </c>
      <c r="P24" s="6">
        <f>IF(OR(A24="",SUM($S$2:$S$161)=0),"",IF(T24&lt;SUMIF($S$2:$S$161,1,$T$2:$T$161),"",ROUND(SUMIF($S$2:$S$161,1,$C$2:$C$161)-0.75*(T24-SUMIF($S$2:$S$161,1,$T$2:$T$161))/7,2)))</f>
      </c>
      <c r="Q24" s="6">
        <f>IF(OR(C24="",P24=""),"",ROUND(C24-P24,2))</f>
      </c>
      <c r="R24" s="4">
        <f>IF(COUNTA(B24:O24)=0,"",IF(OR(B24="Yes",AND(E24&lt;&gt;"",E24&gt;=10000)),1,0)+IF(OR(B24="Yes",G24="Yes",H24&lt;&gt;""),1,0)+IF(AND(J24&lt;&gt;"",J24&lt;=2400),1,0)+IF(N24="Yes",1,0))</f>
      </c>
      <c r="S24" s="4">
        <f>IF(AND(ISNUMBER(C24),COUNT($C$2:C24)=1),1,0)</f>
      </c>
      <c r="T24" s="4">
        <f>IF(A24="","",DATEVALUE(A24))</f>
      </c>
    </row>
    <row r="25">
      <c r="A25" t="inlineStr">
        <is>
          <t>2026-11-08</t>
        </is>
      </c>
      <c r="P25" s="6">
        <f>IF(OR(A25="",SUM($S$2:$S$161)=0),"",IF(T25&lt;SUMIF($S$2:$S$161,1,$T$2:$T$161),"",ROUND(SUMIF($S$2:$S$161,1,$C$2:$C$161)-0.75*(T25-SUMIF($S$2:$S$161,1,$T$2:$T$161))/7,2)))</f>
      </c>
      <c r="Q25" s="6">
        <f>IF(OR(C25="",P25=""),"",ROUND(C25-P25,2))</f>
      </c>
      <c r="R25" s="4">
        <f>IF(COUNTA(B25:O25)=0,"",IF(OR(B25="Yes",AND(E25&lt;&gt;"",E25&gt;=10000)),1,0)+IF(OR(B25="Yes",G25="Yes",H25&lt;&gt;""),1,0)+IF(AND(J25&lt;&gt;"",J25&lt;=2400),1,0)+IF(N25="Yes",1,0))</f>
      </c>
      <c r="S25" s="4">
        <f>IF(AND(ISNUMBER(C25),COUNT($C$2:C25)=1),1,0)</f>
      </c>
      <c r="T25" s="4">
        <f>IF(A25="","",DATEVALUE(A25))</f>
      </c>
    </row>
    <row r="26">
      <c r="A26" t="inlineStr">
        <is>
          <t>2026-11-09</t>
        </is>
      </c>
      <c r="P26" s="6">
        <f>IF(OR(A26="",SUM($S$2:$S$161)=0),"",IF(T26&lt;SUMIF($S$2:$S$161,1,$T$2:$T$161),"",ROUND(SUMIF($S$2:$S$161,1,$C$2:$C$161)-0.75*(T26-SUMIF($S$2:$S$161,1,$T$2:$T$161))/7,2)))</f>
      </c>
      <c r="Q26" s="6">
        <f>IF(OR(C26="",P26=""),"",ROUND(C26-P26,2))</f>
      </c>
      <c r="R26" s="4">
        <f>IF(COUNTA(B26:O26)=0,"",IF(OR(B26="Yes",AND(E26&lt;&gt;"",E26&gt;=10000)),1,0)+IF(OR(B26="Yes",G26="Yes",H26&lt;&gt;""),1,0)+IF(AND(J26&lt;&gt;"",J26&lt;=2400),1,0)+IF(N26="Yes",1,0))</f>
      </c>
      <c r="S26" s="4">
        <f>IF(AND(ISNUMBER(C26),COUNT($C$2:C26)=1),1,0)</f>
      </c>
      <c r="T26" s="4">
        <f>IF(A26="","",DATEVALUE(A26))</f>
      </c>
    </row>
    <row r="27">
      <c r="A27" t="inlineStr">
        <is>
          <t>2026-11-10</t>
        </is>
      </c>
      <c r="P27" s="6">
        <f>IF(OR(A27="",SUM($S$2:$S$161)=0),"",IF(T27&lt;SUMIF($S$2:$S$161,1,$T$2:$T$161),"",ROUND(SUMIF($S$2:$S$161,1,$C$2:$C$161)-0.75*(T27-SUMIF($S$2:$S$161,1,$T$2:$T$161))/7,2)))</f>
      </c>
      <c r="Q27" s="6">
        <f>IF(OR(C27="",P27=""),"",ROUND(C27-P27,2))</f>
      </c>
      <c r="R27" s="4">
        <f>IF(COUNTA(B27:O27)=0,"",IF(OR(B27="Yes",AND(E27&lt;&gt;"",E27&gt;=10000)),1,0)+IF(OR(B27="Yes",G27="Yes",H27&lt;&gt;""),1,0)+IF(AND(J27&lt;&gt;"",J27&lt;=2400),1,0)+IF(N27="Yes",1,0))</f>
      </c>
      <c r="S27" s="4">
        <f>IF(AND(ISNUMBER(C27),COUNT($C$2:C27)=1),1,0)</f>
      </c>
      <c r="T27" s="4">
        <f>IF(A27="","",DATEVALUE(A27))</f>
      </c>
    </row>
    <row r="28">
      <c r="A28" t="inlineStr">
        <is>
          <t>2026-11-11</t>
        </is>
      </c>
      <c r="P28" s="6">
        <f>IF(OR(A28="",SUM($S$2:$S$161)=0),"",IF(T28&lt;SUMIF($S$2:$S$161,1,$T$2:$T$161),"",ROUND(SUMIF($S$2:$S$161,1,$C$2:$C$161)-0.75*(T28-SUMIF($S$2:$S$161,1,$T$2:$T$161))/7,2)))</f>
      </c>
      <c r="Q28" s="6">
        <f>IF(OR(C28="",P28=""),"",ROUND(C28-P28,2))</f>
      </c>
      <c r="R28" s="4">
        <f>IF(COUNTA(B28:O28)=0,"",IF(OR(B28="Yes",AND(E28&lt;&gt;"",E28&gt;=10000)),1,0)+IF(OR(B28="Yes",G28="Yes",H28&lt;&gt;""),1,0)+IF(AND(J28&lt;&gt;"",J28&lt;=2400),1,0)+IF(N28="Yes",1,0))</f>
      </c>
      <c r="S28" s="4">
        <f>IF(AND(ISNUMBER(C28),COUNT($C$2:C28)=1),1,0)</f>
      </c>
      <c r="T28" s="4">
        <f>IF(A28="","",DATEVALUE(A28))</f>
      </c>
    </row>
    <row r="29">
      <c r="A29" t="inlineStr">
        <is>
          <t>2026-11-12</t>
        </is>
      </c>
      <c r="P29" s="6">
        <f>IF(OR(A29="",SUM($S$2:$S$161)=0),"",IF(T29&lt;SUMIF($S$2:$S$161,1,$T$2:$T$161),"",ROUND(SUMIF($S$2:$S$161,1,$C$2:$C$161)-0.75*(T29-SUMIF($S$2:$S$161,1,$T$2:$T$161))/7,2)))</f>
      </c>
      <c r="Q29" s="6">
        <f>IF(OR(C29="",P29=""),"",ROUND(C29-P29,2))</f>
      </c>
      <c r="R29" s="4">
        <f>IF(COUNTA(B29:O29)=0,"",IF(OR(B29="Yes",AND(E29&lt;&gt;"",E29&gt;=10000)),1,0)+IF(OR(B29="Yes",G29="Yes",H29&lt;&gt;""),1,0)+IF(AND(J29&lt;&gt;"",J29&lt;=2400),1,0)+IF(N29="Yes",1,0))</f>
      </c>
      <c r="S29" s="4">
        <f>IF(AND(ISNUMBER(C29),COUNT($C$2:C29)=1),1,0)</f>
      </c>
      <c r="T29" s="4">
        <f>IF(A29="","",DATEVALUE(A29))</f>
      </c>
    </row>
    <row r="30">
      <c r="A30" t="inlineStr">
        <is>
          <t>2026-11-13</t>
        </is>
      </c>
      <c r="P30" s="6">
        <f>IF(OR(A30="",SUM($S$2:$S$161)=0),"",IF(T30&lt;SUMIF($S$2:$S$161,1,$T$2:$T$161),"",ROUND(SUMIF($S$2:$S$161,1,$C$2:$C$161)-0.75*(T30-SUMIF($S$2:$S$161,1,$T$2:$T$161))/7,2)))</f>
      </c>
      <c r="Q30" s="6">
        <f>IF(OR(C30="",P30=""),"",ROUND(C30-P30,2))</f>
      </c>
      <c r="R30" s="4">
        <f>IF(COUNTA(B30:O30)=0,"",IF(OR(B30="Yes",AND(E30&lt;&gt;"",E30&gt;=10000)),1,0)+IF(OR(B30="Yes",G30="Yes",H30&lt;&gt;""),1,0)+IF(AND(J30&lt;&gt;"",J30&lt;=2400),1,0)+IF(N30="Yes",1,0))</f>
      </c>
      <c r="S30" s="4">
        <f>IF(AND(ISNUMBER(C30),COUNT($C$2:C30)=1),1,0)</f>
      </c>
      <c r="T30" s="4">
        <f>IF(A30="","",DATEVALUE(A30))</f>
      </c>
    </row>
    <row r="31">
      <c r="A31" t="inlineStr">
        <is>
          <t>2026-11-14</t>
        </is>
      </c>
      <c r="P31" s="6">
        <f>IF(OR(A31="",SUM($S$2:$S$161)=0),"",IF(T31&lt;SUMIF($S$2:$S$161,1,$T$2:$T$161),"",ROUND(SUMIF($S$2:$S$161,1,$C$2:$C$161)-0.75*(T31-SUMIF($S$2:$S$161,1,$T$2:$T$161))/7,2)))</f>
      </c>
      <c r="Q31" s="6">
        <f>IF(OR(C31="",P31=""),"",ROUND(C31-P31,2))</f>
      </c>
      <c r="R31" s="4">
        <f>IF(COUNTA(B31:O31)=0,"",IF(OR(B31="Yes",AND(E31&lt;&gt;"",E31&gt;=10000)),1,0)+IF(OR(B31="Yes",G31="Yes",H31&lt;&gt;""),1,0)+IF(AND(J31&lt;&gt;"",J31&lt;=2400),1,0)+IF(N31="Yes",1,0))</f>
      </c>
      <c r="S31" s="4">
        <f>IF(AND(ISNUMBER(C31),COUNT($C$2:C31)=1),1,0)</f>
      </c>
      <c r="T31" s="4">
        <f>IF(A31="","",DATEVALUE(A31))</f>
      </c>
    </row>
    <row r="32">
      <c r="A32" t="inlineStr">
        <is>
          <t>2026-11-15</t>
        </is>
      </c>
      <c r="P32" s="6">
        <f>IF(OR(A32="",SUM($S$2:$S$161)=0),"",IF(T32&lt;SUMIF($S$2:$S$161,1,$T$2:$T$161),"",ROUND(SUMIF($S$2:$S$161,1,$C$2:$C$161)-0.75*(T32-SUMIF($S$2:$S$161,1,$T$2:$T$161))/7,2)))</f>
      </c>
      <c r="Q32" s="6">
        <f>IF(OR(C32="",P32=""),"",ROUND(C32-P32,2))</f>
      </c>
      <c r="R32" s="4">
        <f>IF(COUNTA(B32:O32)=0,"",IF(OR(B32="Yes",AND(E32&lt;&gt;"",E32&gt;=10000)),1,0)+IF(OR(B32="Yes",G32="Yes",H32&lt;&gt;""),1,0)+IF(AND(J32&lt;&gt;"",J32&lt;=2400),1,0)+IF(N32="Yes",1,0))</f>
      </c>
      <c r="S32" s="4">
        <f>IF(AND(ISNUMBER(C32),COUNT($C$2:C32)=1),1,0)</f>
      </c>
      <c r="T32" s="4">
        <f>IF(A32="","",DATEVALUE(A32))</f>
      </c>
    </row>
    <row r="33">
      <c r="A33" t="inlineStr">
        <is>
          <t>2026-11-16</t>
        </is>
      </c>
      <c r="P33" s="6">
        <f>IF(OR(A33="",SUM($S$2:$S$161)=0),"",IF(T33&lt;SUMIF($S$2:$S$161,1,$T$2:$T$161),"",ROUND(SUMIF($S$2:$S$161,1,$C$2:$C$161)-0.75*(T33-SUMIF($S$2:$S$161,1,$T$2:$T$161))/7,2)))</f>
      </c>
      <c r="Q33" s="6">
        <f>IF(OR(C33="",P33=""),"",ROUND(C33-P33,2))</f>
      </c>
      <c r="R33" s="4">
        <f>IF(COUNTA(B33:O33)=0,"",IF(OR(B33="Yes",AND(E33&lt;&gt;"",E33&gt;=10000)),1,0)+IF(OR(B33="Yes",G33="Yes",H33&lt;&gt;""),1,0)+IF(AND(J33&lt;&gt;"",J33&lt;=2400),1,0)+IF(N33="Yes",1,0))</f>
      </c>
      <c r="S33" s="4">
        <f>IF(AND(ISNUMBER(C33),COUNT($C$2:C33)=1),1,0)</f>
      </c>
      <c r="T33" s="4">
        <f>IF(A33="","",DATEVALUE(A33))</f>
      </c>
    </row>
    <row r="34">
      <c r="A34" t="inlineStr">
        <is>
          <t>2026-11-17</t>
        </is>
      </c>
      <c r="P34" s="6">
        <f>IF(OR(A34="",SUM($S$2:$S$161)=0),"",IF(T34&lt;SUMIF($S$2:$S$161,1,$T$2:$T$161),"",ROUND(SUMIF($S$2:$S$161,1,$C$2:$C$161)-0.75*(T34-SUMIF($S$2:$S$161,1,$T$2:$T$161))/7,2)))</f>
      </c>
      <c r="Q34" s="6">
        <f>IF(OR(C34="",P34=""),"",ROUND(C34-P34,2))</f>
      </c>
      <c r="R34" s="4">
        <f>IF(COUNTA(B34:O34)=0,"",IF(OR(B34="Yes",AND(E34&lt;&gt;"",E34&gt;=10000)),1,0)+IF(OR(B34="Yes",G34="Yes",H34&lt;&gt;""),1,0)+IF(AND(J34&lt;&gt;"",J34&lt;=2400),1,0)+IF(N34="Yes",1,0))</f>
      </c>
      <c r="S34" s="4">
        <f>IF(AND(ISNUMBER(C34),COUNT($C$2:C34)=1),1,0)</f>
      </c>
      <c r="T34" s="4">
        <f>IF(A34="","",DATEVALUE(A34))</f>
      </c>
    </row>
    <row r="35">
      <c r="A35" t="inlineStr">
        <is>
          <t>2026-11-18</t>
        </is>
      </c>
      <c r="P35" s="6">
        <f>IF(OR(A35="",SUM($S$2:$S$161)=0),"",IF(T35&lt;SUMIF($S$2:$S$161,1,$T$2:$T$161),"",ROUND(SUMIF($S$2:$S$161,1,$C$2:$C$161)-0.75*(T35-SUMIF($S$2:$S$161,1,$T$2:$T$161))/7,2)))</f>
      </c>
      <c r="Q35" s="6">
        <f>IF(OR(C35="",P35=""),"",ROUND(C35-P35,2))</f>
      </c>
      <c r="R35" s="4">
        <f>IF(COUNTA(B35:O35)=0,"",IF(OR(B35="Yes",AND(E35&lt;&gt;"",E35&gt;=10000)),1,0)+IF(OR(B35="Yes",G35="Yes",H35&lt;&gt;""),1,0)+IF(AND(J35&lt;&gt;"",J35&lt;=2400),1,0)+IF(N35="Yes",1,0))</f>
      </c>
      <c r="S35" s="4">
        <f>IF(AND(ISNUMBER(C35),COUNT($C$2:C35)=1),1,0)</f>
      </c>
      <c r="T35" s="4">
        <f>IF(A35="","",DATEVALUE(A35))</f>
      </c>
    </row>
    <row r="36">
      <c r="A36" t="inlineStr">
        <is>
          <t>2026-11-19</t>
        </is>
      </c>
      <c r="P36" s="6">
        <f>IF(OR(A36="",SUM($S$2:$S$161)=0),"",IF(T36&lt;SUMIF($S$2:$S$161,1,$T$2:$T$161),"",ROUND(SUMIF($S$2:$S$161,1,$C$2:$C$161)-0.75*(T36-SUMIF($S$2:$S$161,1,$T$2:$T$161))/7,2)))</f>
      </c>
      <c r="Q36" s="6">
        <f>IF(OR(C36="",P36=""),"",ROUND(C36-P36,2))</f>
      </c>
      <c r="R36" s="4">
        <f>IF(COUNTA(B36:O36)=0,"",IF(OR(B36="Yes",AND(E36&lt;&gt;"",E36&gt;=10000)),1,0)+IF(OR(B36="Yes",G36="Yes",H36&lt;&gt;""),1,0)+IF(AND(J36&lt;&gt;"",J36&lt;=2400),1,0)+IF(N36="Yes",1,0))</f>
      </c>
      <c r="S36" s="4">
        <f>IF(AND(ISNUMBER(C36),COUNT($C$2:C36)=1),1,0)</f>
      </c>
      <c r="T36" s="4">
        <f>IF(A36="","",DATEVALUE(A36))</f>
      </c>
    </row>
    <row r="37">
      <c r="A37" t="inlineStr">
        <is>
          <t>2026-11-20</t>
        </is>
      </c>
      <c r="P37" s="6">
        <f>IF(OR(A37="",SUM($S$2:$S$161)=0),"",IF(T37&lt;SUMIF($S$2:$S$161,1,$T$2:$T$161),"",ROUND(SUMIF($S$2:$S$161,1,$C$2:$C$161)-0.75*(T37-SUMIF($S$2:$S$161,1,$T$2:$T$161))/7,2)))</f>
      </c>
      <c r="Q37" s="6">
        <f>IF(OR(C37="",P37=""),"",ROUND(C37-P37,2))</f>
      </c>
      <c r="R37" s="4">
        <f>IF(COUNTA(B37:O37)=0,"",IF(OR(B37="Yes",AND(E37&lt;&gt;"",E37&gt;=10000)),1,0)+IF(OR(B37="Yes",G37="Yes",H37&lt;&gt;""),1,0)+IF(AND(J37&lt;&gt;"",J37&lt;=2400),1,0)+IF(N37="Yes",1,0))</f>
      </c>
      <c r="S37" s="4">
        <f>IF(AND(ISNUMBER(C37),COUNT($C$2:C37)=1),1,0)</f>
      </c>
      <c r="T37" s="4">
        <f>IF(A37="","",DATEVALUE(A37))</f>
      </c>
    </row>
    <row r="38">
      <c r="A38" t="inlineStr">
        <is>
          <t>2026-11-21</t>
        </is>
      </c>
      <c r="P38" s="6">
        <f>IF(OR(A38="",SUM($S$2:$S$161)=0),"",IF(T38&lt;SUMIF($S$2:$S$161,1,$T$2:$T$161),"",ROUND(SUMIF($S$2:$S$161,1,$C$2:$C$161)-0.75*(T38-SUMIF($S$2:$S$161,1,$T$2:$T$161))/7,2)))</f>
      </c>
      <c r="Q38" s="6">
        <f>IF(OR(C38="",P38=""),"",ROUND(C38-P38,2))</f>
      </c>
      <c r="R38" s="4">
        <f>IF(COUNTA(B38:O38)=0,"",IF(OR(B38="Yes",AND(E38&lt;&gt;"",E38&gt;=10000)),1,0)+IF(OR(B38="Yes",G38="Yes",H38&lt;&gt;""),1,0)+IF(AND(J38&lt;&gt;"",J38&lt;=2400),1,0)+IF(N38="Yes",1,0))</f>
      </c>
      <c r="S38" s="4">
        <f>IF(AND(ISNUMBER(C38),COUNT($C$2:C38)=1),1,0)</f>
      </c>
      <c r="T38" s="4">
        <f>IF(A38="","",DATEVALUE(A38))</f>
      </c>
    </row>
    <row r="39">
      <c r="A39" t="inlineStr">
        <is>
          <t>2026-11-22</t>
        </is>
      </c>
      <c r="P39" s="6">
        <f>IF(OR(A39="",SUM($S$2:$S$161)=0),"",IF(T39&lt;SUMIF($S$2:$S$161,1,$T$2:$T$161),"",ROUND(SUMIF($S$2:$S$161,1,$C$2:$C$161)-0.75*(T39-SUMIF($S$2:$S$161,1,$T$2:$T$161))/7,2)))</f>
      </c>
      <c r="Q39" s="6">
        <f>IF(OR(C39="",P39=""),"",ROUND(C39-P39,2))</f>
      </c>
      <c r="R39" s="4">
        <f>IF(COUNTA(B39:O39)=0,"",IF(OR(B39="Yes",AND(E39&lt;&gt;"",E39&gt;=10000)),1,0)+IF(OR(B39="Yes",G39="Yes",H39&lt;&gt;""),1,0)+IF(AND(J39&lt;&gt;"",J39&lt;=2400),1,0)+IF(N39="Yes",1,0))</f>
      </c>
      <c r="S39" s="4">
        <f>IF(AND(ISNUMBER(C39),COUNT($C$2:C39)=1),1,0)</f>
      </c>
      <c r="T39" s="4">
        <f>IF(A39="","",DATEVALUE(A39))</f>
      </c>
    </row>
    <row r="40">
      <c r="A40" t="inlineStr">
        <is>
          <t>2026-11-23</t>
        </is>
      </c>
      <c r="P40" s="6">
        <f>IF(OR(A40="",SUM($S$2:$S$161)=0),"",IF(T40&lt;SUMIF($S$2:$S$161,1,$T$2:$T$161),"",ROUND(SUMIF($S$2:$S$161,1,$C$2:$C$161)-0.75*(T40-SUMIF($S$2:$S$161,1,$T$2:$T$161))/7,2)))</f>
      </c>
      <c r="Q40" s="6">
        <f>IF(OR(C40="",P40=""),"",ROUND(C40-P40,2))</f>
      </c>
      <c r="R40" s="4">
        <f>IF(COUNTA(B40:O40)=0,"",IF(OR(B40="Yes",AND(E40&lt;&gt;"",E40&gt;=10000)),1,0)+IF(OR(B40="Yes",G40="Yes",H40&lt;&gt;""),1,0)+IF(AND(J40&lt;&gt;"",J40&lt;=2400),1,0)+IF(N40="Yes",1,0))</f>
      </c>
      <c r="S40" s="4">
        <f>IF(AND(ISNUMBER(C40),COUNT($C$2:C40)=1),1,0)</f>
      </c>
      <c r="T40" s="4">
        <f>IF(A40="","",DATEVALUE(A40))</f>
      </c>
    </row>
    <row r="41">
      <c r="A41" t="inlineStr">
        <is>
          <t>2026-11-24</t>
        </is>
      </c>
      <c r="P41" s="6">
        <f>IF(OR(A41="",SUM($S$2:$S$161)=0),"",IF(T41&lt;SUMIF($S$2:$S$161,1,$T$2:$T$161),"",ROUND(SUMIF($S$2:$S$161,1,$C$2:$C$161)-0.75*(T41-SUMIF($S$2:$S$161,1,$T$2:$T$161))/7,2)))</f>
      </c>
      <c r="Q41" s="6">
        <f>IF(OR(C41="",P41=""),"",ROUND(C41-P41,2))</f>
      </c>
      <c r="R41" s="4">
        <f>IF(COUNTA(B41:O41)=0,"",IF(OR(B41="Yes",AND(E41&lt;&gt;"",E41&gt;=10000)),1,0)+IF(OR(B41="Yes",G41="Yes",H41&lt;&gt;""),1,0)+IF(AND(J41&lt;&gt;"",J41&lt;=2400),1,0)+IF(N41="Yes",1,0))</f>
      </c>
      <c r="S41" s="4">
        <f>IF(AND(ISNUMBER(C41),COUNT($C$2:C41)=1),1,0)</f>
      </c>
      <c r="T41" s="4">
        <f>IF(A41="","",DATEVALUE(A41))</f>
      </c>
    </row>
    <row r="42">
      <c r="A42" t="inlineStr">
        <is>
          <t>2026-11-25</t>
        </is>
      </c>
      <c r="P42" s="6">
        <f>IF(OR(A42="",SUM($S$2:$S$161)=0),"",IF(T42&lt;SUMIF($S$2:$S$161,1,$T$2:$T$161),"",ROUND(SUMIF($S$2:$S$161,1,$C$2:$C$161)-0.75*(T42-SUMIF($S$2:$S$161,1,$T$2:$T$161))/7,2)))</f>
      </c>
      <c r="Q42" s="6">
        <f>IF(OR(C42="",P42=""),"",ROUND(C42-P42,2))</f>
      </c>
      <c r="R42" s="4">
        <f>IF(COUNTA(B42:O42)=0,"",IF(OR(B42="Yes",AND(E42&lt;&gt;"",E42&gt;=10000)),1,0)+IF(OR(B42="Yes",G42="Yes",H42&lt;&gt;""),1,0)+IF(AND(J42&lt;&gt;"",J42&lt;=2400),1,0)+IF(N42="Yes",1,0))</f>
      </c>
      <c r="S42" s="4">
        <f>IF(AND(ISNUMBER(C42),COUNT($C$2:C42)=1),1,0)</f>
      </c>
      <c r="T42" s="4">
        <f>IF(A42="","",DATEVALUE(A42))</f>
      </c>
    </row>
    <row r="43">
      <c r="A43" t="inlineStr">
        <is>
          <t>2026-11-26</t>
        </is>
      </c>
      <c r="P43" s="6">
        <f>IF(OR(A43="",SUM($S$2:$S$161)=0),"",IF(T43&lt;SUMIF($S$2:$S$161,1,$T$2:$T$161),"",ROUND(SUMIF($S$2:$S$161,1,$C$2:$C$161)-0.75*(T43-SUMIF($S$2:$S$161,1,$T$2:$T$161))/7,2)))</f>
      </c>
      <c r="Q43" s="6">
        <f>IF(OR(C43="",P43=""),"",ROUND(C43-P43,2))</f>
      </c>
      <c r="R43" s="4">
        <f>IF(COUNTA(B43:O43)=0,"",IF(OR(B43="Yes",AND(E43&lt;&gt;"",E43&gt;=10000)),1,0)+IF(OR(B43="Yes",G43="Yes",H43&lt;&gt;""),1,0)+IF(AND(J43&lt;&gt;"",J43&lt;=2400),1,0)+IF(N43="Yes",1,0))</f>
      </c>
      <c r="S43" s="4">
        <f>IF(AND(ISNUMBER(C43),COUNT($C$2:C43)=1),1,0)</f>
      </c>
      <c r="T43" s="4">
        <f>IF(A43="","",DATEVALUE(A43))</f>
      </c>
    </row>
    <row r="44">
      <c r="A44" t="inlineStr">
        <is>
          <t>2026-11-27</t>
        </is>
      </c>
      <c r="P44" s="6">
        <f>IF(OR(A44="",SUM($S$2:$S$161)=0),"",IF(T44&lt;SUMIF($S$2:$S$161,1,$T$2:$T$161),"",ROUND(SUMIF($S$2:$S$161,1,$C$2:$C$161)-0.75*(T44-SUMIF($S$2:$S$161,1,$T$2:$T$161))/7,2)))</f>
      </c>
      <c r="Q44" s="6">
        <f>IF(OR(C44="",P44=""),"",ROUND(C44-P44,2))</f>
      </c>
      <c r="R44" s="4">
        <f>IF(COUNTA(B44:O44)=0,"",IF(OR(B44="Yes",AND(E44&lt;&gt;"",E44&gt;=10000)),1,0)+IF(OR(B44="Yes",G44="Yes",H44&lt;&gt;""),1,0)+IF(AND(J44&lt;&gt;"",J44&lt;=2400),1,0)+IF(N44="Yes",1,0))</f>
      </c>
      <c r="S44" s="4">
        <f>IF(AND(ISNUMBER(C44),COUNT($C$2:C44)=1),1,0)</f>
      </c>
      <c r="T44" s="4">
        <f>IF(A44="","",DATEVALUE(A44))</f>
      </c>
    </row>
    <row r="45">
      <c r="A45" t="inlineStr">
        <is>
          <t>2026-11-28</t>
        </is>
      </c>
      <c r="P45" s="6">
        <f>IF(OR(A45="",SUM($S$2:$S$161)=0),"",IF(T45&lt;SUMIF($S$2:$S$161,1,$T$2:$T$161),"",ROUND(SUMIF($S$2:$S$161,1,$C$2:$C$161)-0.75*(T45-SUMIF($S$2:$S$161,1,$T$2:$T$161))/7,2)))</f>
      </c>
      <c r="Q45" s="6">
        <f>IF(OR(C45="",P45=""),"",ROUND(C45-P45,2))</f>
      </c>
      <c r="R45" s="4">
        <f>IF(COUNTA(B45:O45)=0,"",IF(OR(B45="Yes",AND(E45&lt;&gt;"",E45&gt;=10000)),1,0)+IF(OR(B45="Yes",G45="Yes",H45&lt;&gt;""),1,0)+IF(AND(J45&lt;&gt;"",J45&lt;=2400),1,0)+IF(N45="Yes",1,0))</f>
      </c>
      <c r="S45" s="4">
        <f>IF(AND(ISNUMBER(C45),COUNT($C$2:C45)=1),1,0)</f>
      </c>
      <c r="T45" s="4">
        <f>IF(A45="","",DATEVALUE(A45))</f>
      </c>
    </row>
    <row r="46">
      <c r="A46" t="inlineStr">
        <is>
          <t>2026-11-29</t>
        </is>
      </c>
      <c r="P46" s="6">
        <f>IF(OR(A46="",SUM($S$2:$S$161)=0),"",IF(T46&lt;SUMIF($S$2:$S$161,1,$T$2:$T$161),"",ROUND(SUMIF($S$2:$S$161,1,$C$2:$C$161)-0.75*(T46-SUMIF($S$2:$S$161,1,$T$2:$T$161))/7,2)))</f>
      </c>
      <c r="Q46" s="6">
        <f>IF(OR(C46="",P46=""),"",ROUND(C46-P46,2))</f>
      </c>
      <c r="R46" s="4">
        <f>IF(COUNTA(B46:O46)=0,"",IF(OR(B46="Yes",AND(E46&lt;&gt;"",E46&gt;=10000)),1,0)+IF(OR(B46="Yes",G46="Yes",H46&lt;&gt;""),1,0)+IF(AND(J46&lt;&gt;"",J46&lt;=2400),1,0)+IF(N46="Yes",1,0))</f>
      </c>
      <c r="S46" s="4">
        <f>IF(AND(ISNUMBER(C46),COUNT($C$2:C46)=1),1,0)</f>
      </c>
      <c r="T46" s="4">
        <f>IF(A46="","",DATEVALUE(A46))</f>
      </c>
    </row>
    <row r="47">
      <c r="A47" t="inlineStr">
        <is>
          <t>2026-11-30</t>
        </is>
      </c>
      <c r="P47" s="6">
        <f>IF(OR(A47="",SUM($S$2:$S$161)=0),"",IF(T47&lt;SUMIF($S$2:$S$161,1,$T$2:$T$161),"",ROUND(SUMIF($S$2:$S$161,1,$C$2:$C$161)-0.75*(T47-SUMIF($S$2:$S$161,1,$T$2:$T$161))/7,2)))</f>
      </c>
      <c r="Q47" s="6">
        <f>IF(OR(C47="",P47=""),"",ROUND(C47-P47,2))</f>
      </c>
      <c r="R47" s="4">
        <f>IF(COUNTA(B47:O47)=0,"",IF(OR(B47="Yes",AND(E47&lt;&gt;"",E47&gt;=10000)),1,0)+IF(OR(B47="Yes",G47="Yes",H47&lt;&gt;""),1,0)+IF(AND(J47&lt;&gt;"",J47&lt;=2400),1,0)+IF(N47="Yes",1,0))</f>
      </c>
      <c r="S47" s="4">
        <f>IF(AND(ISNUMBER(C47),COUNT($C$2:C47)=1),1,0)</f>
      </c>
      <c r="T47" s="4">
        <f>IF(A47="","",DATEVALUE(A47))</f>
      </c>
    </row>
    <row r="48">
      <c r="A48" t="inlineStr">
        <is>
          <t>2026-12-01</t>
        </is>
      </c>
      <c r="P48" s="6">
        <f>IF(OR(A48="",SUM($S$2:$S$161)=0),"",IF(T48&lt;SUMIF($S$2:$S$161,1,$T$2:$T$161),"",ROUND(SUMIF($S$2:$S$161,1,$C$2:$C$161)-0.75*(T48-SUMIF($S$2:$S$161,1,$T$2:$T$161))/7,2)))</f>
      </c>
      <c r="Q48" s="6">
        <f>IF(OR(C48="",P48=""),"",ROUND(C48-P48,2))</f>
      </c>
      <c r="R48" s="4">
        <f>IF(COUNTA(B48:O48)=0,"",IF(OR(B48="Yes",AND(E48&lt;&gt;"",E48&gt;=10000)),1,0)+IF(OR(B48="Yes",G48="Yes",H48&lt;&gt;""),1,0)+IF(AND(J48&lt;&gt;"",J48&lt;=2400),1,0)+IF(N48="Yes",1,0))</f>
      </c>
      <c r="S48" s="4">
        <f>IF(AND(ISNUMBER(C48),COUNT($C$2:C48)=1),1,0)</f>
      </c>
      <c r="T48" s="4">
        <f>IF(A48="","",DATEVALUE(A48))</f>
      </c>
    </row>
    <row r="49">
      <c r="A49" t="inlineStr">
        <is>
          <t>2026-12-02</t>
        </is>
      </c>
      <c r="P49" s="6">
        <f>IF(OR(A49="",SUM($S$2:$S$161)=0),"",IF(T49&lt;SUMIF($S$2:$S$161,1,$T$2:$T$161),"",ROUND(SUMIF($S$2:$S$161,1,$C$2:$C$161)-0.75*(T49-SUMIF($S$2:$S$161,1,$T$2:$T$161))/7,2)))</f>
      </c>
      <c r="Q49" s="6">
        <f>IF(OR(C49="",P49=""),"",ROUND(C49-P49,2))</f>
      </c>
      <c r="R49" s="4">
        <f>IF(COUNTA(B49:O49)=0,"",IF(OR(B49="Yes",AND(E49&lt;&gt;"",E49&gt;=10000)),1,0)+IF(OR(B49="Yes",G49="Yes",H49&lt;&gt;""),1,0)+IF(AND(J49&lt;&gt;"",J49&lt;=2400),1,0)+IF(N49="Yes",1,0))</f>
      </c>
      <c r="S49" s="4">
        <f>IF(AND(ISNUMBER(C49),COUNT($C$2:C49)=1),1,0)</f>
      </c>
      <c r="T49" s="4">
        <f>IF(A49="","",DATEVALUE(A49))</f>
      </c>
    </row>
    <row r="50">
      <c r="A50" t="inlineStr">
        <is>
          <t>2026-12-03</t>
        </is>
      </c>
      <c r="P50" s="6">
        <f>IF(OR(A50="",SUM($S$2:$S$161)=0),"",IF(T50&lt;SUMIF($S$2:$S$161,1,$T$2:$T$161),"",ROUND(SUMIF($S$2:$S$161,1,$C$2:$C$161)-0.75*(T50-SUMIF($S$2:$S$161,1,$T$2:$T$161))/7,2)))</f>
      </c>
      <c r="Q50" s="6">
        <f>IF(OR(C50="",P50=""),"",ROUND(C50-P50,2))</f>
      </c>
      <c r="R50" s="4">
        <f>IF(COUNTA(B50:O50)=0,"",IF(OR(B50="Yes",AND(E50&lt;&gt;"",E50&gt;=10000)),1,0)+IF(OR(B50="Yes",G50="Yes",H50&lt;&gt;""),1,0)+IF(AND(J50&lt;&gt;"",J50&lt;=2400),1,0)+IF(N50="Yes",1,0))</f>
      </c>
      <c r="S50" s="4">
        <f>IF(AND(ISNUMBER(C50),COUNT($C$2:C50)=1),1,0)</f>
      </c>
      <c r="T50" s="4">
        <f>IF(A50="","",DATEVALUE(A50))</f>
      </c>
    </row>
    <row r="51">
      <c r="A51" t="inlineStr">
        <is>
          <t>2026-12-04</t>
        </is>
      </c>
      <c r="P51" s="6">
        <f>IF(OR(A51="",SUM($S$2:$S$161)=0),"",IF(T51&lt;SUMIF($S$2:$S$161,1,$T$2:$T$161),"",ROUND(SUMIF($S$2:$S$161,1,$C$2:$C$161)-0.75*(T51-SUMIF($S$2:$S$161,1,$T$2:$T$161))/7,2)))</f>
      </c>
      <c r="Q51" s="6">
        <f>IF(OR(C51="",P51=""),"",ROUND(C51-P51,2))</f>
      </c>
      <c r="R51" s="4">
        <f>IF(COUNTA(B51:O51)=0,"",IF(OR(B51="Yes",AND(E51&lt;&gt;"",E51&gt;=10000)),1,0)+IF(OR(B51="Yes",G51="Yes",H51&lt;&gt;""),1,0)+IF(AND(J51&lt;&gt;"",J51&lt;=2400),1,0)+IF(N51="Yes",1,0))</f>
      </c>
      <c r="S51" s="4">
        <f>IF(AND(ISNUMBER(C51),COUNT($C$2:C51)=1),1,0)</f>
      </c>
      <c r="T51" s="4">
        <f>IF(A51="","",DATEVALUE(A51))</f>
      </c>
    </row>
    <row r="52">
      <c r="A52" t="inlineStr">
        <is>
          <t>2026-12-05</t>
        </is>
      </c>
      <c r="P52" s="6">
        <f>IF(OR(A52="",SUM($S$2:$S$161)=0),"",IF(T52&lt;SUMIF($S$2:$S$161,1,$T$2:$T$161),"",ROUND(SUMIF($S$2:$S$161,1,$C$2:$C$161)-0.75*(T52-SUMIF($S$2:$S$161,1,$T$2:$T$161))/7,2)))</f>
      </c>
      <c r="Q52" s="6">
        <f>IF(OR(C52="",P52=""),"",ROUND(C52-P52,2))</f>
      </c>
      <c r="R52" s="4">
        <f>IF(COUNTA(B52:O52)=0,"",IF(OR(B52="Yes",AND(E52&lt;&gt;"",E52&gt;=10000)),1,0)+IF(OR(B52="Yes",G52="Yes",H52&lt;&gt;""),1,0)+IF(AND(J52&lt;&gt;"",J52&lt;=2400),1,0)+IF(N52="Yes",1,0))</f>
      </c>
      <c r="S52" s="4">
        <f>IF(AND(ISNUMBER(C52),COUNT($C$2:C52)=1),1,0)</f>
      </c>
      <c r="T52" s="4">
        <f>IF(A52="","",DATEVALUE(A52))</f>
      </c>
    </row>
    <row r="53">
      <c r="A53" t="inlineStr">
        <is>
          <t>2026-12-06</t>
        </is>
      </c>
      <c r="P53" s="6">
        <f>IF(OR(A53="",SUM($S$2:$S$161)=0),"",IF(T53&lt;SUMIF($S$2:$S$161,1,$T$2:$T$161),"",ROUND(SUMIF($S$2:$S$161,1,$C$2:$C$161)-0.75*(T53-SUMIF($S$2:$S$161,1,$T$2:$T$161))/7,2)))</f>
      </c>
      <c r="Q53" s="6">
        <f>IF(OR(C53="",P53=""),"",ROUND(C53-P53,2))</f>
      </c>
      <c r="R53" s="4">
        <f>IF(COUNTA(B53:O53)=0,"",IF(OR(B53="Yes",AND(E53&lt;&gt;"",E53&gt;=10000)),1,0)+IF(OR(B53="Yes",G53="Yes",H53&lt;&gt;""),1,0)+IF(AND(J53&lt;&gt;"",J53&lt;=2400),1,0)+IF(N53="Yes",1,0))</f>
      </c>
      <c r="S53" s="4">
        <f>IF(AND(ISNUMBER(C53),COUNT($C$2:C53)=1),1,0)</f>
      </c>
      <c r="T53" s="4">
        <f>IF(A53="","",DATEVALUE(A53))</f>
      </c>
    </row>
    <row r="54">
      <c r="A54" t="inlineStr">
        <is>
          <t>2026-12-07</t>
        </is>
      </c>
      <c r="P54" s="6">
        <f>IF(OR(A54="",SUM($S$2:$S$161)=0),"",IF(T54&lt;SUMIF($S$2:$S$161,1,$T$2:$T$161),"",ROUND(SUMIF($S$2:$S$161,1,$C$2:$C$161)-0.75*(T54-SUMIF($S$2:$S$161,1,$T$2:$T$161))/7,2)))</f>
      </c>
      <c r="Q54" s="6">
        <f>IF(OR(C54="",P54=""),"",ROUND(C54-P54,2))</f>
      </c>
      <c r="R54" s="4">
        <f>IF(COUNTA(B54:O54)=0,"",IF(OR(B54="Yes",AND(E54&lt;&gt;"",E54&gt;=10000)),1,0)+IF(OR(B54="Yes",G54="Yes",H54&lt;&gt;""),1,0)+IF(AND(J54&lt;&gt;"",J54&lt;=2400),1,0)+IF(N54="Yes",1,0))</f>
      </c>
      <c r="S54" s="4">
        <f>IF(AND(ISNUMBER(C54),COUNT($C$2:C54)=1),1,0)</f>
      </c>
      <c r="T54" s="4">
        <f>IF(A54="","",DATEVALUE(A54))</f>
      </c>
    </row>
    <row r="55">
      <c r="A55" t="inlineStr">
        <is>
          <t>2026-12-08</t>
        </is>
      </c>
      <c r="P55" s="6">
        <f>IF(OR(A55="",SUM($S$2:$S$161)=0),"",IF(T55&lt;SUMIF($S$2:$S$161,1,$T$2:$T$161),"",ROUND(SUMIF($S$2:$S$161,1,$C$2:$C$161)-0.75*(T55-SUMIF($S$2:$S$161,1,$T$2:$T$161))/7,2)))</f>
      </c>
      <c r="Q55" s="6">
        <f>IF(OR(C55="",P55=""),"",ROUND(C55-P55,2))</f>
      </c>
      <c r="R55" s="4">
        <f>IF(COUNTA(B55:O55)=0,"",IF(OR(B55="Yes",AND(E55&lt;&gt;"",E55&gt;=10000)),1,0)+IF(OR(B55="Yes",G55="Yes",H55&lt;&gt;""),1,0)+IF(AND(J55&lt;&gt;"",J55&lt;=2400),1,0)+IF(N55="Yes",1,0))</f>
      </c>
      <c r="S55" s="4">
        <f>IF(AND(ISNUMBER(C55),COUNT($C$2:C55)=1),1,0)</f>
      </c>
      <c r="T55" s="4">
        <f>IF(A55="","",DATEVALUE(A55))</f>
      </c>
    </row>
    <row r="56">
      <c r="A56" t="inlineStr">
        <is>
          <t>2026-12-09</t>
        </is>
      </c>
      <c r="P56" s="6">
        <f>IF(OR(A56="",SUM($S$2:$S$161)=0),"",IF(T56&lt;SUMIF($S$2:$S$161,1,$T$2:$T$161),"",ROUND(SUMIF($S$2:$S$161,1,$C$2:$C$161)-0.75*(T56-SUMIF($S$2:$S$161,1,$T$2:$T$161))/7,2)))</f>
      </c>
      <c r="Q56" s="6">
        <f>IF(OR(C56="",P56=""),"",ROUND(C56-P56,2))</f>
      </c>
      <c r="R56" s="4">
        <f>IF(COUNTA(B56:O56)=0,"",IF(OR(B56="Yes",AND(E56&lt;&gt;"",E56&gt;=10000)),1,0)+IF(OR(B56="Yes",G56="Yes",H56&lt;&gt;""),1,0)+IF(AND(J56&lt;&gt;"",J56&lt;=2400),1,0)+IF(N56="Yes",1,0))</f>
      </c>
      <c r="S56" s="4">
        <f>IF(AND(ISNUMBER(C56),COUNT($C$2:C56)=1),1,0)</f>
      </c>
      <c r="T56" s="4">
        <f>IF(A56="","",DATEVALUE(A56))</f>
      </c>
    </row>
    <row r="57">
      <c r="A57" t="inlineStr">
        <is>
          <t>2026-12-10</t>
        </is>
      </c>
      <c r="P57" s="6">
        <f>IF(OR(A57="",SUM($S$2:$S$161)=0),"",IF(T57&lt;SUMIF($S$2:$S$161,1,$T$2:$T$161),"",ROUND(SUMIF($S$2:$S$161,1,$C$2:$C$161)-0.75*(T57-SUMIF($S$2:$S$161,1,$T$2:$T$161))/7,2)))</f>
      </c>
      <c r="Q57" s="6">
        <f>IF(OR(C57="",P57=""),"",ROUND(C57-P57,2))</f>
      </c>
      <c r="R57" s="4">
        <f>IF(COUNTA(B57:O57)=0,"",IF(OR(B57="Yes",AND(E57&lt;&gt;"",E57&gt;=10000)),1,0)+IF(OR(B57="Yes",G57="Yes",H57&lt;&gt;""),1,0)+IF(AND(J57&lt;&gt;"",J57&lt;=2400),1,0)+IF(N57="Yes",1,0))</f>
      </c>
      <c r="S57" s="4">
        <f>IF(AND(ISNUMBER(C57),COUNT($C$2:C57)=1),1,0)</f>
      </c>
      <c r="T57" s="4">
        <f>IF(A57="","",DATEVALUE(A57))</f>
      </c>
    </row>
    <row r="58">
      <c r="A58" t="inlineStr">
        <is>
          <t>2026-12-11</t>
        </is>
      </c>
      <c r="P58" s="6">
        <f>IF(OR(A58="",SUM($S$2:$S$161)=0),"",IF(T58&lt;SUMIF($S$2:$S$161,1,$T$2:$T$161),"",ROUND(SUMIF($S$2:$S$161,1,$C$2:$C$161)-0.75*(T58-SUMIF($S$2:$S$161,1,$T$2:$T$161))/7,2)))</f>
      </c>
      <c r="Q58" s="6">
        <f>IF(OR(C58="",P58=""),"",ROUND(C58-P58,2))</f>
      </c>
      <c r="R58" s="4">
        <f>IF(COUNTA(B58:O58)=0,"",IF(OR(B58="Yes",AND(E58&lt;&gt;"",E58&gt;=10000)),1,0)+IF(OR(B58="Yes",G58="Yes",H58&lt;&gt;""),1,0)+IF(AND(J58&lt;&gt;"",J58&lt;=2400),1,0)+IF(N58="Yes",1,0))</f>
      </c>
      <c r="S58" s="4">
        <f>IF(AND(ISNUMBER(C58),COUNT($C$2:C58)=1),1,0)</f>
      </c>
      <c r="T58" s="4">
        <f>IF(A58="","",DATEVALUE(A58))</f>
      </c>
    </row>
    <row r="59">
      <c r="A59" t="inlineStr">
        <is>
          <t>2026-12-12</t>
        </is>
      </c>
      <c r="P59" s="6">
        <f>IF(OR(A59="",SUM($S$2:$S$161)=0),"",IF(T59&lt;SUMIF($S$2:$S$161,1,$T$2:$T$161),"",ROUND(SUMIF($S$2:$S$161,1,$C$2:$C$161)-0.75*(T59-SUMIF($S$2:$S$161,1,$T$2:$T$161))/7,2)))</f>
      </c>
      <c r="Q59" s="6">
        <f>IF(OR(C59="",P59=""),"",ROUND(C59-P59,2))</f>
      </c>
      <c r="R59" s="4">
        <f>IF(COUNTA(B59:O59)=0,"",IF(OR(B59="Yes",AND(E59&lt;&gt;"",E59&gt;=10000)),1,0)+IF(OR(B59="Yes",G59="Yes",H59&lt;&gt;""),1,0)+IF(AND(J59&lt;&gt;"",J59&lt;=2400),1,0)+IF(N59="Yes",1,0))</f>
      </c>
      <c r="S59" s="4">
        <f>IF(AND(ISNUMBER(C59),COUNT($C$2:C59)=1),1,0)</f>
      </c>
      <c r="T59" s="4">
        <f>IF(A59="","",DATEVALUE(A59))</f>
      </c>
    </row>
    <row r="60">
      <c r="A60" t="inlineStr">
        <is>
          <t>2026-12-13</t>
        </is>
      </c>
      <c r="P60" s="6">
        <f>IF(OR(A60="",SUM($S$2:$S$161)=0),"",IF(T60&lt;SUMIF($S$2:$S$161,1,$T$2:$T$161),"",ROUND(SUMIF($S$2:$S$161,1,$C$2:$C$161)-0.75*(T60-SUMIF($S$2:$S$161,1,$T$2:$T$161))/7,2)))</f>
      </c>
      <c r="Q60" s="6">
        <f>IF(OR(C60="",P60=""),"",ROUND(C60-P60,2))</f>
      </c>
      <c r="R60" s="4">
        <f>IF(COUNTA(B60:O60)=0,"",IF(OR(B60="Yes",AND(E60&lt;&gt;"",E60&gt;=10000)),1,0)+IF(OR(B60="Yes",G60="Yes",H60&lt;&gt;""),1,0)+IF(AND(J60&lt;&gt;"",J60&lt;=2400),1,0)+IF(N60="Yes",1,0))</f>
      </c>
      <c r="S60" s="4">
        <f>IF(AND(ISNUMBER(C60),COUNT($C$2:C60)=1),1,0)</f>
      </c>
      <c r="T60" s="4">
        <f>IF(A60="","",DATEVALUE(A60))</f>
      </c>
    </row>
    <row r="61">
      <c r="A61" t="inlineStr">
        <is>
          <t>2026-12-14</t>
        </is>
      </c>
      <c r="P61" s="6">
        <f>IF(OR(A61="",SUM($S$2:$S$161)=0),"",IF(T61&lt;SUMIF($S$2:$S$161,1,$T$2:$T$161),"",ROUND(SUMIF($S$2:$S$161,1,$C$2:$C$161)-0.75*(T61-SUMIF($S$2:$S$161,1,$T$2:$T$161))/7,2)))</f>
      </c>
      <c r="Q61" s="6">
        <f>IF(OR(C61="",P61=""),"",ROUND(C61-P61,2))</f>
      </c>
      <c r="R61" s="4">
        <f>IF(COUNTA(B61:O61)=0,"",IF(OR(B61="Yes",AND(E61&lt;&gt;"",E61&gt;=10000)),1,0)+IF(OR(B61="Yes",G61="Yes",H61&lt;&gt;""),1,0)+IF(AND(J61&lt;&gt;"",J61&lt;=2400),1,0)+IF(N61="Yes",1,0))</f>
      </c>
      <c r="S61" s="4">
        <f>IF(AND(ISNUMBER(C61),COUNT($C$2:C61)=1),1,0)</f>
      </c>
      <c r="T61" s="4">
        <f>IF(A61="","",DATEVALUE(A61))</f>
      </c>
    </row>
    <row r="62">
      <c r="A62" t="inlineStr">
        <is>
          <t>2026-12-15</t>
        </is>
      </c>
      <c r="P62" s="6">
        <f>IF(OR(A62="",SUM($S$2:$S$161)=0),"",IF(T62&lt;SUMIF($S$2:$S$161,1,$T$2:$T$161),"",ROUND(SUMIF($S$2:$S$161,1,$C$2:$C$161)-0.75*(T62-SUMIF($S$2:$S$161,1,$T$2:$T$161))/7,2)))</f>
      </c>
      <c r="Q62" s="6">
        <f>IF(OR(C62="",P62=""),"",ROUND(C62-P62,2))</f>
      </c>
      <c r="R62" s="4">
        <f>IF(COUNTA(B62:O62)=0,"",IF(OR(B62="Yes",AND(E62&lt;&gt;"",E62&gt;=10000)),1,0)+IF(OR(B62="Yes",G62="Yes",H62&lt;&gt;""),1,0)+IF(AND(J62&lt;&gt;"",J62&lt;=2400),1,0)+IF(N62="Yes",1,0))</f>
      </c>
      <c r="S62" s="4">
        <f>IF(AND(ISNUMBER(C62),COUNT($C$2:C62)=1),1,0)</f>
      </c>
      <c r="T62" s="4">
        <f>IF(A62="","",DATEVALUE(A62))</f>
      </c>
    </row>
    <row r="63">
      <c r="A63" t="inlineStr">
        <is>
          <t>2026-12-16</t>
        </is>
      </c>
      <c r="P63" s="6">
        <f>IF(OR(A63="",SUM($S$2:$S$161)=0),"",IF(T63&lt;SUMIF($S$2:$S$161,1,$T$2:$T$161),"",ROUND(SUMIF($S$2:$S$161,1,$C$2:$C$161)-0.75*(T63-SUMIF($S$2:$S$161,1,$T$2:$T$161))/7,2)))</f>
      </c>
      <c r="Q63" s="6">
        <f>IF(OR(C63="",P63=""),"",ROUND(C63-P63,2))</f>
      </c>
      <c r="R63" s="4">
        <f>IF(COUNTA(B63:O63)=0,"",IF(OR(B63="Yes",AND(E63&lt;&gt;"",E63&gt;=10000)),1,0)+IF(OR(B63="Yes",G63="Yes",H63&lt;&gt;""),1,0)+IF(AND(J63&lt;&gt;"",J63&lt;=2400),1,0)+IF(N63="Yes",1,0))</f>
      </c>
      <c r="S63" s="4">
        <f>IF(AND(ISNUMBER(C63),COUNT($C$2:C63)=1),1,0)</f>
      </c>
      <c r="T63" s="4">
        <f>IF(A63="","",DATEVALUE(A63))</f>
      </c>
    </row>
    <row r="64">
      <c r="A64" t="inlineStr">
        <is>
          <t>2026-12-17</t>
        </is>
      </c>
      <c r="P64" s="6">
        <f>IF(OR(A64="",SUM($S$2:$S$161)=0),"",IF(T64&lt;SUMIF($S$2:$S$161,1,$T$2:$T$161),"",ROUND(SUMIF($S$2:$S$161,1,$C$2:$C$161)-0.75*(T64-SUMIF($S$2:$S$161,1,$T$2:$T$161))/7,2)))</f>
      </c>
      <c r="Q64" s="6">
        <f>IF(OR(C64="",P64=""),"",ROUND(C64-P64,2))</f>
      </c>
      <c r="R64" s="4">
        <f>IF(COUNTA(B64:O64)=0,"",IF(OR(B64="Yes",AND(E64&lt;&gt;"",E64&gt;=10000)),1,0)+IF(OR(B64="Yes",G64="Yes",H64&lt;&gt;""),1,0)+IF(AND(J64&lt;&gt;"",J64&lt;=2400),1,0)+IF(N64="Yes",1,0))</f>
      </c>
      <c r="S64" s="4">
        <f>IF(AND(ISNUMBER(C64),COUNT($C$2:C64)=1),1,0)</f>
      </c>
      <c r="T64" s="4">
        <f>IF(A64="","",DATEVALUE(A64))</f>
      </c>
    </row>
    <row r="65">
      <c r="A65" t="inlineStr">
        <is>
          <t>2026-12-18</t>
        </is>
      </c>
      <c r="P65" s="6">
        <f>IF(OR(A65="",SUM($S$2:$S$161)=0),"",IF(T65&lt;SUMIF($S$2:$S$161,1,$T$2:$T$161),"",ROUND(SUMIF($S$2:$S$161,1,$C$2:$C$161)-0.75*(T65-SUMIF($S$2:$S$161,1,$T$2:$T$161))/7,2)))</f>
      </c>
      <c r="Q65" s="6">
        <f>IF(OR(C65="",P65=""),"",ROUND(C65-P65,2))</f>
      </c>
      <c r="R65" s="4">
        <f>IF(COUNTA(B65:O65)=0,"",IF(OR(B65="Yes",AND(E65&lt;&gt;"",E65&gt;=10000)),1,0)+IF(OR(B65="Yes",G65="Yes",H65&lt;&gt;""),1,0)+IF(AND(J65&lt;&gt;"",J65&lt;=2400),1,0)+IF(N65="Yes",1,0))</f>
      </c>
      <c r="S65" s="4">
        <f>IF(AND(ISNUMBER(C65),COUNT($C$2:C65)=1),1,0)</f>
      </c>
      <c r="T65" s="4">
        <f>IF(A65="","",DATEVALUE(A65))</f>
      </c>
    </row>
    <row r="66">
      <c r="A66" t="inlineStr">
        <is>
          <t>2026-12-19</t>
        </is>
      </c>
      <c r="P66" s="6">
        <f>IF(OR(A66="",SUM($S$2:$S$161)=0),"",IF(T66&lt;SUMIF($S$2:$S$161,1,$T$2:$T$161),"",ROUND(SUMIF($S$2:$S$161,1,$C$2:$C$161)-0.75*(T66-SUMIF($S$2:$S$161,1,$T$2:$T$161))/7,2)))</f>
      </c>
      <c r="Q66" s="6">
        <f>IF(OR(C66="",P66=""),"",ROUND(C66-P66,2))</f>
      </c>
      <c r="R66" s="4">
        <f>IF(COUNTA(B66:O66)=0,"",IF(OR(B66="Yes",AND(E66&lt;&gt;"",E66&gt;=10000)),1,0)+IF(OR(B66="Yes",G66="Yes",H66&lt;&gt;""),1,0)+IF(AND(J66&lt;&gt;"",J66&lt;=2400),1,0)+IF(N66="Yes",1,0))</f>
      </c>
      <c r="S66" s="4">
        <f>IF(AND(ISNUMBER(C66),COUNT($C$2:C66)=1),1,0)</f>
      </c>
      <c r="T66" s="4">
        <f>IF(A66="","",DATEVALUE(A66))</f>
      </c>
    </row>
    <row r="67">
      <c r="A67" t="inlineStr">
        <is>
          <t>2026-12-20</t>
        </is>
      </c>
      <c r="P67" s="6">
        <f>IF(OR(A67="",SUM($S$2:$S$161)=0),"",IF(T67&lt;SUMIF($S$2:$S$161,1,$T$2:$T$161),"",ROUND(SUMIF($S$2:$S$161,1,$C$2:$C$161)-0.75*(T67-SUMIF($S$2:$S$161,1,$T$2:$T$161))/7,2)))</f>
      </c>
      <c r="Q67" s="6">
        <f>IF(OR(C67="",P67=""),"",ROUND(C67-P67,2))</f>
      </c>
      <c r="R67" s="4">
        <f>IF(COUNTA(B67:O67)=0,"",IF(OR(B67="Yes",AND(E67&lt;&gt;"",E67&gt;=10000)),1,0)+IF(OR(B67="Yes",G67="Yes",H67&lt;&gt;""),1,0)+IF(AND(J67&lt;&gt;"",J67&lt;=2400),1,0)+IF(N67="Yes",1,0))</f>
      </c>
      <c r="S67" s="4">
        <f>IF(AND(ISNUMBER(C67),COUNT($C$2:C67)=1),1,0)</f>
      </c>
      <c r="T67" s="4">
        <f>IF(A67="","",DATEVALUE(A67))</f>
      </c>
    </row>
    <row r="68">
      <c r="A68" t="inlineStr">
        <is>
          <t>2026-12-21</t>
        </is>
      </c>
      <c r="P68" s="6">
        <f>IF(OR(A68="",SUM($S$2:$S$161)=0),"",IF(T68&lt;SUMIF($S$2:$S$161,1,$T$2:$T$161),"",ROUND(SUMIF($S$2:$S$161,1,$C$2:$C$161)-0.75*(T68-SUMIF($S$2:$S$161,1,$T$2:$T$161))/7,2)))</f>
      </c>
      <c r="Q68" s="6">
        <f>IF(OR(C68="",P68=""),"",ROUND(C68-P68,2))</f>
      </c>
      <c r="R68" s="4">
        <f>IF(COUNTA(B68:O68)=0,"",IF(OR(B68="Yes",AND(E68&lt;&gt;"",E68&gt;=10000)),1,0)+IF(OR(B68="Yes",G68="Yes",H68&lt;&gt;""),1,0)+IF(AND(J68&lt;&gt;"",J68&lt;=2400),1,0)+IF(N68="Yes",1,0))</f>
      </c>
      <c r="S68" s="4">
        <f>IF(AND(ISNUMBER(C68),COUNT($C$2:C68)=1),1,0)</f>
      </c>
      <c r="T68" s="4">
        <f>IF(A68="","",DATEVALUE(A68))</f>
      </c>
    </row>
    <row r="69">
      <c r="A69" t="inlineStr">
        <is>
          <t>2026-12-22</t>
        </is>
      </c>
      <c r="P69" s="6">
        <f>IF(OR(A69="",SUM($S$2:$S$161)=0),"",IF(T69&lt;SUMIF($S$2:$S$161,1,$T$2:$T$161),"",ROUND(SUMIF($S$2:$S$161,1,$C$2:$C$161)-0.75*(T69-SUMIF($S$2:$S$161,1,$T$2:$T$161))/7,2)))</f>
      </c>
      <c r="Q69" s="6">
        <f>IF(OR(C69="",P69=""),"",ROUND(C69-P69,2))</f>
      </c>
      <c r="R69" s="4">
        <f>IF(COUNTA(B69:O69)=0,"",IF(OR(B69="Yes",AND(E69&lt;&gt;"",E69&gt;=10000)),1,0)+IF(OR(B69="Yes",G69="Yes",H69&lt;&gt;""),1,0)+IF(AND(J69&lt;&gt;"",J69&lt;=2400),1,0)+IF(N69="Yes",1,0))</f>
      </c>
      <c r="S69" s="4">
        <f>IF(AND(ISNUMBER(C69),COUNT($C$2:C69)=1),1,0)</f>
      </c>
      <c r="T69" s="4">
        <f>IF(A69="","",DATEVALUE(A69))</f>
      </c>
    </row>
    <row r="70">
      <c r="A70" t="inlineStr">
        <is>
          <t>2026-12-23</t>
        </is>
      </c>
      <c r="P70" s="6">
        <f>IF(OR(A70="",SUM($S$2:$S$161)=0),"",IF(T70&lt;SUMIF($S$2:$S$161,1,$T$2:$T$161),"",ROUND(SUMIF($S$2:$S$161,1,$C$2:$C$161)-0.75*(T70-SUMIF($S$2:$S$161,1,$T$2:$T$161))/7,2)))</f>
      </c>
      <c r="Q70" s="6">
        <f>IF(OR(C70="",P70=""),"",ROUND(C70-P70,2))</f>
      </c>
      <c r="R70" s="4">
        <f>IF(COUNTA(B70:O70)=0,"",IF(OR(B70="Yes",AND(E70&lt;&gt;"",E70&gt;=10000)),1,0)+IF(OR(B70="Yes",G70="Yes",H70&lt;&gt;""),1,0)+IF(AND(J70&lt;&gt;"",J70&lt;=2400),1,0)+IF(N70="Yes",1,0))</f>
      </c>
      <c r="S70" s="4">
        <f>IF(AND(ISNUMBER(C70),COUNT($C$2:C70)=1),1,0)</f>
      </c>
      <c r="T70" s="4">
        <f>IF(A70="","",DATEVALUE(A70))</f>
      </c>
    </row>
    <row r="71">
      <c r="A71" t="inlineStr">
        <is>
          <t>2026-12-24</t>
        </is>
      </c>
      <c r="P71" s="6">
        <f>IF(OR(A71="",SUM($S$2:$S$161)=0),"",IF(T71&lt;SUMIF($S$2:$S$161,1,$T$2:$T$161),"",ROUND(SUMIF($S$2:$S$161,1,$C$2:$C$161)-0.75*(T71-SUMIF($S$2:$S$161,1,$T$2:$T$161))/7,2)))</f>
      </c>
      <c r="Q71" s="6">
        <f>IF(OR(C71="",P71=""),"",ROUND(C71-P71,2))</f>
      </c>
      <c r="R71" s="4">
        <f>IF(COUNTA(B71:O71)=0,"",IF(OR(B71="Yes",AND(E71&lt;&gt;"",E71&gt;=10000)),1,0)+IF(OR(B71="Yes",G71="Yes",H71&lt;&gt;""),1,0)+IF(AND(J71&lt;&gt;"",J71&lt;=2400),1,0)+IF(N71="Yes",1,0))</f>
      </c>
      <c r="S71" s="4">
        <f>IF(AND(ISNUMBER(C71),COUNT($C$2:C71)=1),1,0)</f>
      </c>
      <c r="T71" s="4">
        <f>IF(A71="","",DATEVALUE(A71))</f>
      </c>
    </row>
    <row r="72">
      <c r="A72" t="inlineStr">
        <is>
          <t>2026-12-25</t>
        </is>
      </c>
      <c r="P72" s="6">
        <f>IF(OR(A72="",SUM($S$2:$S$161)=0),"",IF(T72&lt;SUMIF($S$2:$S$161,1,$T$2:$T$161),"",ROUND(SUMIF($S$2:$S$161,1,$C$2:$C$161)-0.75*(T72-SUMIF($S$2:$S$161,1,$T$2:$T$161))/7,2)))</f>
      </c>
      <c r="Q72" s="6">
        <f>IF(OR(C72="",P72=""),"",ROUND(C72-P72,2))</f>
      </c>
      <c r="R72" s="4">
        <f>IF(COUNTA(B72:O72)=0,"",IF(OR(B72="Yes",AND(E72&lt;&gt;"",E72&gt;=10000)),1,0)+IF(OR(B72="Yes",G72="Yes",H72&lt;&gt;""),1,0)+IF(AND(J72&lt;&gt;"",J72&lt;=2400),1,0)+IF(N72="Yes",1,0))</f>
      </c>
      <c r="S72" s="4">
        <f>IF(AND(ISNUMBER(C72),COUNT($C$2:C72)=1),1,0)</f>
      </c>
      <c r="T72" s="4">
        <f>IF(A72="","",DATEVALUE(A72))</f>
      </c>
    </row>
    <row r="73">
      <c r="A73" t="inlineStr">
        <is>
          <t>2026-12-26</t>
        </is>
      </c>
      <c r="P73" s="6">
        <f>IF(OR(A73="",SUM($S$2:$S$161)=0),"",IF(T73&lt;SUMIF($S$2:$S$161,1,$T$2:$T$161),"",ROUND(SUMIF($S$2:$S$161,1,$C$2:$C$161)-0.75*(T73-SUMIF($S$2:$S$161,1,$T$2:$T$161))/7,2)))</f>
      </c>
      <c r="Q73" s="6">
        <f>IF(OR(C73="",P73=""),"",ROUND(C73-P73,2))</f>
      </c>
      <c r="R73" s="4">
        <f>IF(COUNTA(B73:O73)=0,"",IF(OR(B73="Yes",AND(E73&lt;&gt;"",E73&gt;=10000)),1,0)+IF(OR(B73="Yes",G73="Yes",H73&lt;&gt;""),1,0)+IF(AND(J73&lt;&gt;"",J73&lt;=2400),1,0)+IF(N73="Yes",1,0))</f>
      </c>
      <c r="S73" s="4">
        <f>IF(AND(ISNUMBER(C73),COUNT($C$2:C73)=1),1,0)</f>
      </c>
      <c r="T73" s="4">
        <f>IF(A73="","",DATEVALUE(A73))</f>
      </c>
    </row>
    <row r="74">
      <c r="A74" t="inlineStr">
        <is>
          <t>2026-12-27</t>
        </is>
      </c>
      <c r="P74" s="6">
        <f>IF(OR(A74="",SUM($S$2:$S$161)=0),"",IF(T74&lt;SUMIF($S$2:$S$161,1,$T$2:$T$161),"",ROUND(SUMIF($S$2:$S$161,1,$C$2:$C$161)-0.75*(T74-SUMIF($S$2:$S$161,1,$T$2:$T$161))/7,2)))</f>
      </c>
      <c r="Q74" s="6">
        <f>IF(OR(C74="",P74=""),"",ROUND(C74-P74,2))</f>
      </c>
      <c r="R74" s="4">
        <f>IF(COUNTA(B74:O74)=0,"",IF(OR(B74="Yes",AND(E74&lt;&gt;"",E74&gt;=10000)),1,0)+IF(OR(B74="Yes",G74="Yes",H74&lt;&gt;""),1,0)+IF(AND(J74&lt;&gt;"",J74&lt;=2400),1,0)+IF(N74="Yes",1,0))</f>
      </c>
      <c r="S74" s="4">
        <f>IF(AND(ISNUMBER(C74),COUNT($C$2:C74)=1),1,0)</f>
      </c>
      <c r="T74" s="4">
        <f>IF(A74="","",DATEVALUE(A74))</f>
      </c>
    </row>
    <row r="75">
      <c r="A75" t="inlineStr">
        <is>
          <t>2026-12-28</t>
        </is>
      </c>
      <c r="P75" s="6">
        <f>IF(OR(A75="",SUM($S$2:$S$161)=0),"",IF(T75&lt;SUMIF($S$2:$S$161,1,$T$2:$T$161),"",ROUND(SUMIF($S$2:$S$161,1,$C$2:$C$161)-0.75*(T75-SUMIF($S$2:$S$161,1,$T$2:$T$161))/7,2)))</f>
      </c>
      <c r="Q75" s="6">
        <f>IF(OR(C75="",P75=""),"",ROUND(C75-P75,2))</f>
      </c>
      <c r="R75" s="4">
        <f>IF(COUNTA(B75:O75)=0,"",IF(OR(B75="Yes",AND(E75&lt;&gt;"",E75&gt;=10000)),1,0)+IF(OR(B75="Yes",G75="Yes",H75&lt;&gt;""),1,0)+IF(AND(J75&lt;&gt;"",J75&lt;=2400),1,0)+IF(N75="Yes",1,0))</f>
      </c>
      <c r="S75" s="4">
        <f>IF(AND(ISNUMBER(C75),COUNT($C$2:C75)=1),1,0)</f>
      </c>
      <c r="T75" s="4">
        <f>IF(A75="","",DATEVALUE(A75))</f>
      </c>
    </row>
    <row r="76">
      <c r="A76" t="inlineStr">
        <is>
          <t>2026-12-29</t>
        </is>
      </c>
      <c r="P76" s="6">
        <f>IF(OR(A76="",SUM($S$2:$S$161)=0),"",IF(T76&lt;SUMIF($S$2:$S$161,1,$T$2:$T$161),"",ROUND(SUMIF($S$2:$S$161,1,$C$2:$C$161)-0.75*(T76-SUMIF($S$2:$S$161,1,$T$2:$T$161))/7,2)))</f>
      </c>
      <c r="Q76" s="6">
        <f>IF(OR(C76="",P76=""),"",ROUND(C76-P76,2))</f>
      </c>
      <c r="R76" s="4">
        <f>IF(COUNTA(B76:O76)=0,"",IF(OR(B76="Yes",AND(E76&lt;&gt;"",E76&gt;=10000)),1,0)+IF(OR(B76="Yes",G76="Yes",H76&lt;&gt;""),1,0)+IF(AND(J76&lt;&gt;"",J76&lt;=2400),1,0)+IF(N76="Yes",1,0))</f>
      </c>
      <c r="S76" s="4">
        <f>IF(AND(ISNUMBER(C76),COUNT($C$2:C76)=1),1,0)</f>
      </c>
      <c r="T76" s="4">
        <f>IF(A76="","",DATEVALUE(A76))</f>
      </c>
    </row>
    <row r="77">
      <c r="A77" t="inlineStr">
        <is>
          <t>2026-12-30</t>
        </is>
      </c>
      <c r="P77" s="6">
        <f>IF(OR(A77="",SUM($S$2:$S$161)=0),"",IF(T77&lt;SUMIF($S$2:$S$161,1,$T$2:$T$161),"",ROUND(SUMIF($S$2:$S$161,1,$C$2:$C$161)-0.75*(T77-SUMIF($S$2:$S$161,1,$T$2:$T$161))/7,2)))</f>
      </c>
      <c r="Q77" s="6">
        <f>IF(OR(C77="",P77=""),"",ROUND(C77-P77,2))</f>
      </c>
      <c r="R77" s="4">
        <f>IF(COUNTA(B77:O77)=0,"",IF(OR(B77="Yes",AND(E77&lt;&gt;"",E77&gt;=10000)),1,0)+IF(OR(B77="Yes",G77="Yes",H77&lt;&gt;""),1,0)+IF(AND(J77&lt;&gt;"",J77&lt;=2400),1,0)+IF(N77="Yes",1,0))</f>
      </c>
      <c r="S77" s="4">
        <f>IF(AND(ISNUMBER(C77),COUNT($C$2:C77)=1),1,0)</f>
      </c>
      <c r="T77" s="4">
        <f>IF(A77="","",DATEVALUE(A77))</f>
      </c>
    </row>
    <row r="78">
      <c r="A78" t="inlineStr">
        <is>
          <t>2026-12-31</t>
        </is>
      </c>
      <c r="P78" s="6">
        <f>IF(OR(A78="",SUM($S$2:$S$161)=0),"",IF(T78&lt;SUMIF($S$2:$S$161,1,$T$2:$T$161),"",ROUND(SUMIF($S$2:$S$161,1,$C$2:$C$161)-0.75*(T78-SUMIF($S$2:$S$161,1,$T$2:$T$161))/7,2)))</f>
      </c>
      <c r="Q78" s="6">
        <f>IF(OR(C78="",P78=""),"",ROUND(C78-P78,2))</f>
      </c>
      <c r="R78" s="4">
        <f>IF(COUNTA(B78:O78)=0,"",IF(OR(B78="Yes",AND(E78&lt;&gt;"",E78&gt;=10000)),1,0)+IF(OR(B78="Yes",G78="Yes",H78&lt;&gt;""),1,0)+IF(AND(J78&lt;&gt;"",J78&lt;=2400),1,0)+IF(N78="Yes",1,0))</f>
      </c>
      <c r="S78" s="4">
        <f>IF(AND(ISNUMBER(C78),COUNT($C$2:C78)=1),1,0)</f>
      </c>
      <c r="T78" s="4">
        <f>IF(A78="","",DATEVALUE(A78))</f>
      </c>
    </row>
    <row r="79">
      <c r="A79" t="inlineStr">
        <is>
          <t>2027-01-01</t>
        </is>
      </c>
      <c r="P79" s="6">
        <f>IF(OR(A79="",SUM($S$2:$S$161)=0),"",IF(T79&lt;SUMIF($S$2:$S$161,1,$T$2:$T$161),"",ROUND(SUMIF($S$2:$S$161,1,$C$2:$C$161)-0.75*(T79-SUMIF($S$2:$S$161,1,$T$2:$T$161))/7,2)))</f>
      </c>
      <c r="Q79" s="6">
        <f>IF(OR(C79="",P79=""),"",ROUND(C79-P79,2))</f>
      </c>
      <c r="R79" s="4">
        <f>IF(COUNTA(B79:O79)=0,"",IF(OR(B79="Yes",AND(E79&lt;&gt;"",E79&gt;=10000)),1,0)+IF(OR(B79="Yes",G79="Yes",H79&lt;&gt;""),1,0)+IF(AND(J79&lt;&gt;"",J79&lt;=2400),1,0)+IF(N79="Yes",1,0))</f>
      </c>
      <c r="S79" s="4">
        <f>IF(AND(ISNUMBER(C79),COUNT($C$2:C79)=1),1,0)</f>
      </c>
      <c r="T79" s="4">
        <f>IF(A79="","",DATEVALUE(A79))</f>
      </c>
    </row>
    <row r="80">
      <c r="A80" t="inlineStr">
        <is>
          <t>2027-01-02</t>
        </is>
      </c>
      <c r="P80" s="6">
        <f>IF(OR(A80="",SUM($S$2:$S$161)=0),"",IF(T80&lt;SUMIF($S$2:$S$161,1,$T$2:$T$161),"",ROUND(SUMIF($S$2:$S$161,1,$C$2:$C$161)-0.75*(T80-SUMIF($S$2:$S$161,1,$T$2:$T$161))/7,2)))</f>
      </c>
      <c r="Q80" s="6">
        <f>IF(OR(C80="",P80=""),"",ROUND(C80-P80,2))</f>
      </c>
      <c r="R80" s="4">
        <f>IF(COUNTA(B80:O80)=0,"",IF(OR(B80="Yes",AND(E80&lt;&gt;"",E80&gt;=10000)),1,0)+IF(OR(B80="Yes",G80="Yes",H80&lt;&gt;""),1,0)+IF(AND(J80&lt;&gt;"",J80&lt;=2400),1,0)+IF(N80="Yes",1,0))</f>
      </c>
      <c r="S80" s="4">
        <f>IF(AND(ISNUMBER(C80),COUNT($C$2:C80)=1),1,0)</f>
      </c>
      <c r="T80" s="4">
        <f>IF(A80="","",DATEVALUE(A80))</f>
      </c>
    </row>
    <row r="81">
      <c r="A81" t="inlineStr">
        <is>
          <t>2027-01-03</t>
        </is>
      </c>
      <c r="P81" s="6">
        <f>IF(OR(A81="",SUM($S$2:$S$161)=0),"",IF(T81&lt;SUMIF($S$2:$S$161,1,$T$2:$T$161),"",ROUND(SUMIF($S$2:$S$161,1,$C$2:$C$161)-0.75*(T81-SUMIF($S$2:$S$161,1,$T$2:$T$161))/7,2)))</f>
      </c>
      <c r="Q81" s="6">
        <f>IF(OR(C81="",P81=""),"",ROUND(C81-P81,2))</f>
      </c>
      <c r="R81" s="4">
        <f>IF(COUNTA(B81:O81)=0,"",IF(OR(B81="Yes",AND(E81&lt;&gt;"",E81&gt;=10000)),1,0)+IF(OR(B81="Yes",G81="Yes",H81&lt;&gt;""),1,0)+IF(AND(J81&lt;&gt;"",J81&lt;=2400),1,0)+IF(N81="Yes",1,0))</f>
      </c>
      <c r="S81" s="4">
        <f>IF(AND(ISNUMBER(C81),COUNT($C$2:C81)=1),1,0)</f>
      </c>
      <c r="T81" s="4">
        <f>IF(A81="","",DATEVALUE(A81))</f>
      </c>
    </row>
    <row r="82">
      <c r="A82" t="inlineStr">
        <is>
          <t>2027-01-04</t>
        </is>
      </c>
      <c r="P82" s="6">
        <f>IF(OR(A82="",SUM($S$2:$S$161)=0),"",IF(T82&lt;SUMIF($S$2:$S$161,1,$T$2:$T$161),"",ROUND(SUMIF($S$2:$S$161,1,$C$2:$C$161)-0.75*(T82-SUMIF($S$2:$S$161,1,$T$2:$T$161))/7,2)))</f>
      </c>
      <c r="Q82" s="6">
        <f>IF(OR(C82="",P82=""),"",ROUND(C82-P82,2))</f>
      </c>
      <c r="R82" s="4">
        <f>IF(COUNTA(B82:O82)=0,"",IF(OR(B82="Yes",AND(E82&lt;&gt;"",E82&gt;=10000)),1,0)+IF(OR(B82="Yes",G82="Yes",H82&lt;&gt;""),1,0)+IF(AND(J82&lt;&gt;"",J82&lt;=2400),1,0)+IF(N82="Yes",1,0))</f>
      </c>
      <c r="S82" s="4">
        <f>IF(AND(ISNUMBER(C82),COUNT($C$2:C82)=1),1,0)</f>
      </c>
      <c r="T82" s="4">
        <f>IF(A82="","",DATEVALUE(A82))</f>
      </c>
    </row>
    <row r="83">
      <c r="A83" t="inlineStr">
        <is>
          <t>2027-01-05</t>
        </is>
      </c>
      <c r="P83" s="6">
        <f>IF(OR(A83="",SUM($S$2:$S$161)=0),"",IF(T83&lt;SUMIF($S$2:$S$161,1,$T$2:$T$161),"",ROUND(SUMIF($S$2:$S$161,1,$C$2:$C$161)-0.75*(T83-SUMIF($S$2:$S$161,1,$T$2:$T$161))/7,2)))</f>
      </c>
      <c r="Q83" s="6">
        <f>IF(OR(C83="",P83=""),"",ROUND(C83-P83,2))</f>
      </c>
      <c r="R83" s="4">
        <f>IF(COUNTA(B83:O83)=0,"",IF(OR(B83="Yes",AND(E83&lt;&gt;"",E83&gt;=10000)),1,0)+IF(OR(B83="Yes",G83="Yes",H83&lt;&gt;""),1,0)+IF(AND(J83&lt;&gt;"",J83&lt;=2400),1,0)+IF(N83="Yes",1,0))</f>
      </c>
      <c r="S83" s="4">
        <f>IF(AND(ISNUMBER(C83),COUNT($C$2:C83)=1),1,0)</f>
      </c>
      <c r="T83" s="4">
        <f>IF(A83="","",DATEVALUE(A83))</f>
      </c>
    </row>
    <row r="84">
      <c r="A84" t="inlineStr">
        <is>
          <t>2027-01-06</t>
        </is>
      </c>
      <c r="P84" s="6">
        <f>IF(OR(A84="",SUM($S$2:$S$161)=0),"",IF(T84&lt;SUMIF($S$2:$S$161,1,$T$2:$T$161),"",ROUND(SUMIF($S$2:$S$161,1,$C$2:$C$161)-0.75*(T84-SUMIF($S$2:$S$161,1,$T$2:$T$161))/7,2)))</f>
      </c>
      <c r="Q84" s="6">
        <f>IF(OR(C84="",P84=""),"",ROUND(C84-P84,2))</f>
      </c>
      <c r="R84" s="4">
        <f>IF(COUNTA(B84:O84)=0,"",IF(OR(B84="Yes",AND(E84&lt;&gt;"",E84&gt;=10000)),1,0)+IF(OR(B84="Yes",G84="Yes",H84&lt;&gt;""),1,0)+IF(AND(J84&lt;&gt;"",J84&lt;=2400),1,0)+IF(N84="Yes",1,0))</f>
      </c>
      <c r="S84" s="4">
        <f>IF(AND(ISNUMBER(C84),COUNT($C$2:C84)=1),1,0)</f>
      </c>
      <c r="T84" s="4">
        <f>IF(A84="","",DATEVALUE(A84))</f>
      </c>
    </row>
    <row r="85">
      <c r="A85" t="inlineStr">
        <is>
          <t>2027-01-07</t>
        </is>
      </c>
      <c r="P85" s="6">
        <f>IF(OR(A85="",SUM($S$2:$S$161)=0),"",IF(T85&lt;SUMIF($S$2:$S$161,1,$T$2:$T$161),"",ROUND(SUMIF($S$2:$S$161,1,$C$2:$C$161)-0.75*(T85-SUMIF($S$2:$S$161,1,$T$2:$T$161))/7,2)))</f>
      </c>
      <c r="Q85" s="6">
        <f>IF(OR(C85="",P85=""),"",ROUND(C85-P85,2))</f>
      </c>
      <c r="R85" s="4">
        <f>IF(COUNTA(B85:O85)=0,"",IF(OR(B85="Yes",AND(E85&lt;&gt;"",E85&gt;=10000)),1,0)+IF(OR(B85="Yes",G85="Yes",H85&lt;&gt;""),1,0)+IF(AND(J85&lt;&gt;"",J85&lt;=2400),1,0)+IF(N85="Yes",1,0))</f>
      </c>
      <c r="S85" s="4">
        <f>IF(AND(ISNUMBER(C85),COUNT($C$2:C85)=1),1,0)</f>
      </c>
      <c r="T85" s="4">
        <f>IF(A85="","",DATEVALUE(A85))</f>
      </c>
    </row>
    <row r="86">
      <c r="A86" t="inlineStr">
        <is>
          <t>2027-01-08</t>
        </is>
      </c>
      <c r="P86" s="6">
        <f>IF(OR(A86="",SUM($S$2:$S$161)=0),"",IF(T86&lt;SUMIF($S$2:$S$161,1,$T$2:$T$161),"",ROUND(SUMIF($S$2:$S$161,1,$C$2:$C$161)-0.75*(T86-SUMIF($S$2:$S$161,1,$T$2:$T$161))/7,2)))</f>
      </c>
      <c r="Q86" s="6">
        <f>IF(OR(C86="",P86=""),"",ROUND(C86-P86,2))</f>
      </c>
      <c r="R86" s="4">
        <f>IF(COUNTA(B86:O86)=0,"",IF(OR(B86="Yes",AND(E86&lt;&gt;"",E86&gt;=10000)),1,0)+IF(OR(B86="Yes",G86="Yes",H86&lt;&gt;""),1,0)+IF(AND(J86&lt;&gt;"",J86&lt;=2400),1,0)+IF(N86="Yes",1,0))</f>
      </c>
      <c r="S86" s="4">
        <f>IF(AND(ISNUMBER(C86),COUNT($C$2:C86)=1),1,0)</f>
      </c>
      <c r="T86" s="4">
        <f>IF(A86="","",DATEVALUE(A86))</f>
      </c>
    </row>
    <row r="87">
      <c r="A87" t="inlineStr">
        <is>
          <t>2027-01-09</t>
        </is>
      </c>
      <c r="P87" s="6">
        <f>IF(OR(A87="",SUM($S$2:$S$161)=0),"",IF(T87&lt;SUMIF($S$2:$S$161,1,$T$2:$T$161),"",ROUND(SUMIF($S$2:$S$161,1,$C$2:$C$161)-0.75*(T87-SUMIF($S$2:$S$161,1,$T$2:$T$161))/7,2)))</f>
      </c>
      <c r="Q87" s="6">
        <f>IF(OR(C87="",P87=""),"",ROUND(C87-P87,2))</f>
      </c>
      <c r="R87" s="4">
        <f>IF(COUNTA(B87:O87)=0,"",IF(OR(B87="Yes",AND(E87&lt;&gt;"",E87&gt;=10000)),1,0)+IF(OR(B87="Yes",G87="Yes",H87&lt;&gt;""),1,0)+IF(AND(J87&lt;&gt;"",J87&lt;=2400),1,0)+IF(N87="Yes",1,0))</f>
      </c>
      <c r="S87" s="4">
        <f>IF(AND(ISNUMBER(C87),COUNT($C$2:C87)=1),1,0)</f>
      </c>
      <c r="T87" s="4">
        <f>IF(A87="","",DATEVALUE(A87))</f>
      </c>
    </row>
    <row r="88">
      <c r="A88" t="inlineStr">
        <is>
          <t>2027-01-10</t>
        </is>
      </c>
      <c r="P88" s="6">
        <f>IF(OR(A88="",SUM($S$2:$S$161)=0),"",IF(T88&lt;SUMIF($S$2:$S$161,1,$T$2:$T$161),"",ROUND(SUMIF($S$2:$S$161,1,$C$2:$C$161)-0.75*(T88-SUMIF($S$2:$S$161,1,$T$2:$T$161))/7,2)))</f>
      </c>
      <c r="Q88" s="6">
        <f>IF(OR(C88="",P88=""),"",ROUND(C88-P88,2))</f>
      </c>
      <c r="R88" s="4">
        <f>IF(COUNTA(B88:O88)=0,"",IF(OR(B88="Yes",AND(E88&lt;&gt;"",E88&gt;=10000)),1,0)+IF(OR(B88="Yes",G88="Yes",H88&lt;&gt;""),1,0)+IF(AND(J88&lt;&gt;"",J88&lt;=2400),1,0)+IF(N88="Yes",1,0))</f>
      </c>
      <c r="S88" s="4">
        <f>IF(AND(ISNUMBER(C88),COUNT($C$2:C88)=1),1,0)</f>
      </c>
      <c r="T88" s="4">
        <f>IF(A88="","",DATEVALUE(A88))</f>
      </c>
    </row>
    <row r="89">
      <c r="A89" t="inlineStr">
        <is>
          <t>2027-01-11</t>
        </is>
      </c>
      <c r="P89" s="6">
        <f>IF(OR(A89="",SUM($S$2:$S$161)=0),"",IF(T89&lt;SUMIF($S$2:$S$161,1,$T$2:$T$161),"",ROUND(SUMIF($S$2:$S$161,1,$C$2:$C$161)-0.75*(T89-SUMIF($S$2:$S$161,1,$T$2:$T$161))/7,2)))</f>
      </c>
      <c r="Q89" s="6">
        <f>IF(OR(C89="",P89=""),"",ROUND(C89-P89,2))</f>
      </c>
      <c r="R89" s="4">
        <f>IF(COUNTA(B89:O89)=0,"",IF(OR(B89="Yes",AND(E89&lt;&gt;"",E89&gt;=10000)),1,0)+IF(OR(B89="Yes",G89="Yes",H89&lt;&gt;""),1,0)+IF(AND(J89&lt;&gt;"",J89&lt;=2400),1,0)+IF(N89="Yes",1,0))</f>
      </c>
      <c r="S89" s="4">
        <f>IF(AND(ISNUMBER(C89),COUNT($C$2:C89)=1),1,0)</f>
      </c>
      <c r="T89" s="4">
        <f>IF(A89="","",DATEVALUE(A89))</f>
      </c>
    </row>
    <row r="90">
      <c r="A90" t="inlineStr">
        <is>
          <t>2027-01-12</t>
        </is>
      </c>
      <c r="P90" s="6">
        <f>IF(OR(A90="",SUM($S$2:$S$161)=0),"",IF(T90&lt;SUMIF($S$2:$S$161,1,$T$2:$T$161),"",ROUND(SUMIF($S$2:$S$161,1,$C$2:$C$161)-0.75*(T90-SUMIF($S$2:$S$161,1,$T$2:$T$161))/7,2)))</f>
      </c>
      <c r="Q90" s="6">
        <f>IF(OR(C90="",P90=""),"",ROUND(C90-P90,2))</f>
      </c>
      <c r="R90" s="4">
        <f>IF(COUNTA(B90:O90)=0,"",IF(OR(B90="Yes",AND(E90&lt;&gt;"",E90&gt;=10000)),1,0)+IF(OR(B90="Yes",G90="Yes",H90&lt;&gt;""),1,0)+IF(AND(J90&lt;&gt;"",J90&lt;=2400),1,0)+IF(N90="Yes",1,0))</f>
      </c>
      <c r="S90" s="4">
        <f>IF(AND(ISNUMBER(C90),COUNT($C$2:C90)=1),1,0)</f>
      </c>
      <c r="T90" s="4">
        <f>IF(A90="","",DATEVALUE(A90))</f>
      </c>
    </row>
    <row r="91">
      <c r="A91" t="inlineStr">
        <is>
          <t>2027-01-13</t>
        </is>
      </c>
      <c r="P91" s="6">
        <f>IF(OR(A91="",SUM($S$2:$S$161)=0),"",IF(T91&lt;SUMIF($S$2:$S$161,1,$T$2:$T$161),"",ROUND(SUMIF($S$2:$S$161,1,$C$2:$C$161)-0.75*(T91-SUMIF($S$2:$S$161,1,$T$2:$T$161))/7,2)))</f>
      </c>
      <c r="Q91" s="6">
        <f>IF(OR(C91="",P91=""),"",ROUND(C91-P91,2))</f>
      </c>
      <c r="R91" s="4">
        <f>IF(COUNTA(B91:O91)=0,"",IF(OR(B91="Yes",AND(E91&lt;&gt;"",E91&gt;=10000)),1,0)+IF(OR(B91="Yes",G91="Yes",H91&lt;&gt;""),1,0)+IF(AND(J91&lt;&gt;"",J91&lt;=2400),1,0)+IF(N91="Yes",1,0))</f>
      </c>
      <c r="S91" s="4">
        <f>IF(AND(ISNUMBER(C91),COUNT($C$2:C91)=1),1,0)</f>
      </c>
      <c r="T91" s="4">
        <f>IF(A91="","",DATEVALUE(A91))</f>
      </c>
    </row>
    <row r="92">
      <c r="A92" t="inlineStr">
        <is>
          <t>2027-01-14</t>
        </is>
      </c>
      <c r="P92" s="6">
        <f>IF(OR(A92="",SUM($S$2:$S$161)=0),"",IF(T92&lt;SUMIF($S$2:$S$161,1,$T$2:$T$161),"",ROUND(SUMIF($S$2:$S$161,1,$C$2:$C$161)-0.75*(T92-SUMIF($S$2:$S$161,1,$T$2:$T$161))/7,2)))</f>
      </c>
      <c r="Q92" s="6">
        <f>IF(OR(C92="",P92=""),"",ROUND(C92-P92,2))</f>
      </c>
      <c r="R92" s="4">
        <f>IF(COUNTA(B92:O92)=0,"",IF(OR(B92="Yes",AND(E92&lt;&gt;"",E92&gt;=10000)),1,0)+IF(OR(B92="Yes",G92="Yes",H92&lt;&gt;""),1,0)+IF(AND(J92&lt;&gt;"",J92&lt;=2400),1,0)+IF(N92="Yes",1,0))</f>
      </c>
      <c r="S92" s="4">
        <f>IF(AND(ISNUMBER(C92),COUNT($C$2:C92)=1),1,0)</f>
      </c>
      <c r="T92" s="4">
        <f>IF(A92="","",DATEVALUE(A92))</f>
      </c>
    </row>
    <row r="93">
      <c r="A93" t="inlineStr">
        <is>
          <t>2027-01-15</t>
        </is>
      </c>
      <c r="P93" s="6">
        <f>IF(OR(A93="",SUM($S$2:$S$161)=0),"",IF(T93&lt;SUMIF($S$2:$S$161,1,$T$2:$T$161),"",ROUND(SUMIF($S$2:$S$161,1,$C$2:$C$161)-0.75*(T93-SUMIF($S$2:$S$161,1,$T$2:$T$161))/7,2)))</f>
      </c>
      <c r="Q93" s="6">
        <f>IF(OR(C93="",P93=""),"",ROUND(C93-P93,2))</f>
      </c>
      <c r="R93" s="4">
        <f>IF(COUNTA(B93:O93)=0,"",IF(OR(B93="Yes",AND(E93&lt;&gt;"",E93&gt;=10000)),1,0)+IF(OR(B93="Yes",G93="Yes",H93&lt;&gt;""),1,0)+IF(AND(J93&lt;&gt;"",J93&lt;=2400),1,0)+IF(N93="Yes",1,0))</f>
      </c>
      <c r="S93" s="4">
        <f>IF(AND(ISNUMBER(C93),COUNT($C$2:C93)=1),1,0)</f>
      </c>
      <c r="T93" s="4">
        <f>IF(A93="","",DATEVALUE(A93))</f>
      </c>
    </row>
    <row r="94">
      <c r="A94" t="inlineStr">
        <is>
          <t>2027-01-16</t>
        </is>
      </c>
      <c r="P94" s="6">
        <f>IF(OR(A94="",SUM($S$2:$S$161)=0),"",IF(T94&lt;SUMIF($S$2:$S$161,1,$T$2:$T$161),"",ROUND(SUMIF($S$2:$S$161,1,$C$2:$C$161)-0.75*(T94-SUMIF($S$2:$S$161,1,$T$2:$T$161))/7,2)))</f>
      </c>
      <c r="Q94" s="6">
        <f>IF(OR(C94="",P94=""),"",ROUND(C94-P94,2))</f>
      </c>
      <c r="R94" s="4">
        <f>IF(COUNTA(B94:O94)=0,"",IF(OR(B94="Yes",AND(E94&lt;&gt;"",E94&gt;=10000)),1,0)+IF(OR(B94="Yes",G94="Yes",H94&lt;&gt;""),1,0)+IF(AND(J94&lt;&gt;"",J94&lt;=2400),1,0)+IF(N94="Yes",1,0))</f>
      </c>
      <c r="S94" s="4">
        <f>IF(AND(ISNUMBER(C94),COUNT($C$2:C94)=1),1,0)</f>
      </c>
      <c r="T94" s="4">
        <f>IF(A94="","",DATEVALUE(A94))</f>
      </c>
    </row>
    <row r="95">
      <c r="A95" t="inlineStr">
        <is>
          <t>2027-01-17</t>
        </is>
      </c>
      <c r="P95" s="6">
        <f>IF(OR(A95="",SUM($S$2:$S$161)=0),"",IF(T95&lt;SUMIF($S$2:$S$161,1,$T$2:$T$161),"",ROUND(SUMIF($S$2:$S$161,1,$C$2:$C$161)-0.75*(T95-SUMIF($S$2:$S$161,1,$T$2:$T$161))/7,2)))</f>
      </c>
      <c r="Q95" s="6">
        <f>IF(OR(C95="",P95=""),"",ROUND(C95-P95,2))</f>
      </c>
      <c r="R95" s="4">
        <f>IF(COUNTA(B95:O95)=0,"",IF(OR(B95="Yes",AND(E95&lt;&gt;"",E95&gt;=10000)),1,0)+IF(OR(B95="Yes",G95="Yes",H95&lt;&gt;""),1,0)+IF(AND(J95&lt;&gt;"",J95&lt;=2400),1,0)+IF(N95="Yes",1,0))</f>
      </c>
      <c r="S95" s="4">
        <f>IF(AND(ISNUMBER(C95),COUNT($C$2:C95)=1),1,0)</f>
      </c>
      <c r="T95" s="4">
        <f>IF(A95="","",DATEVALUE(A95))</f>
      </c>
    </row>
    <row r="96">
      <c r="A96" t="inlineStr">
        <is>
          <t>2027-01-18</t>
        </is>
      </c>
      <c r="P96" s="6">
        <f>IF(OR(A96="",SUM($S$2:$S$161)=0),"",IF(T96&lt;SUMIF($S$2:$S$161,1,$T$2:$T$161),"",ROUND(SUMIF($S$2:$S$161,1,$C$2:$C$161)-0.75*(T96-SUMIF($S$2:$S$161,1,$T$2:$T$161))/7,2)))</f>
      </c>
      <c r="Q96" s="6">
        <f>IF(OR(C96="",P96=""),"",ROUND(C96-P96,2))</f>
      </c>
      <c r="R96" s="4">
        <f>IF(COUNTA(B96:O96)=0,"",IF(OR(B96="Yes",AND(E96&lt;&gt;"",E96&gt;=10000)),1,0)+IF(OR(B96="Yes",G96="Yes",H96&lt;&gt;""),1,0)+IF(AND(J96&lt;&gt;"",J96&lt;=2400),1,0)+IF(N96="Yes",1,0))</f>
      </c>
      <c r="S96" s="4">
        <f>IF(AND(ISNUMBER(C96),COUNT($C$2:C96)=1),1,0)</f>
      </c>
      <c r="T96" s="4">
        <f>IF(A96="","",DATEVALUE(A96))</f>
      </c>
    </row>
    <row r="97">
      <c r="A97" t="inlineStr">
        <is>
          <t>2027-01-19</t>
        </is>
      </c>
      <c r="P97" s="6">
        <f>IF(OR(A97="",SUM($S$2:$S$161)=0),"",IF(T97&lt;SUMIF($S$2:$S$161,1,$T$2:$T$161),"",ROUND(SUMIF($S$2:$S$161,1,$C$2:$C$161)-0.75*(T97-SUMIF($S$2:$S$161,1,$T$2:$T$161))/7,2)))</f>
      </c>
      <c r="Q97" s="6">
        <f>IF(OR(C97="",P97=""),"",ROUND(C97-P97,2))</f>
      </c>
      <c r="R97" s="4">
        <f>IF(COUNTA(B97:O97)=0,"",IF(OR(B97="Yes",AND(E97&lt;&gt;"",E97&gt;=10000)),1,0)+IF(OR(B97="Yes",G97="Yes",H97&lt;&gt;""),1,0)+IF(AND(J97&lt;&gt;"",J97&lt;=2400),1,0)+IF(N97="Yes",1,0))</f>
      </c>
      <c r="S97" s="4">
        <f>IF(AND(ISNUMBER(C97),COUNT($C$2:C97)=1),1,0)</f>
      </c>
      <c r="T97" s="4">
        <f>IF(A97="","",DATEVALUE(A97))</f>
      </c>
    </row>
    <row r="98">
      <c r="A98" t="inlineStr">
        <is>
          <t>2027-01-20</t>
        </is>
      </c>
      <c r="P98" s="6">
        <f>IF(OR(A98="",SUM($S$2:$S$161)=0),"",IF(T98&lt;SUMIF($S$2:$S$161,1,$T$2:$T$161),"",ROUND(SUMIF($S$2:$S$161,1,$C$2:$C$161)-0.75*(T98-SUMIF($S$2:$S$161,1,$T$2:$T$161))/7,2)))</f>
      </c>
      <c r="Q98" s="6">
        <f>IF(OR(C98="",P98=""),"",ROUND(C98-P98,2))</f>
      </c>
      <c r="R98" s="4">
        <f>IF(COUNTA(B98:O98)=0,"",IF(OR(B98="Yes",AND(E98&lt;&gt;"",E98&gt;=10000)),1,0)+IF(OR(B98="Yes",G98="Yes",H98&lt;&gt;""),1,0)+IF(AND(J98&lt;&gt;"",J98&lt;=2400),1,0)+IF(N98="Yes",1,0))</f>
      </c>
      <c r="S98" s="4">
        <f>IF(AND(ISNUMBER(C98),COUNT($C$2:C98)=1),1,0)</f>
      </c>
      <c r="T98" s="4">
        <f>IF(A98="","",DATEVALUE(A98))</f>
      </c>
    </row>
    <row r="99">
      <c r="A99" t="inlineStr">
        <is>
          <t>2027-01-21</t>
        </is>
      </c>
      <c r="P99" s="6">
        <f>IF(OR(A99="",SUM($S$2:$S$161)=0),"",IF(T99&lt;SUMIF($S$2:$S$161,1,$T$2:$T$161),"",ROUND(SUMIF($S$2:$S$161,1,$C$2:$C$161)-0.75*(T99-SUMIF($S$2:$S$161,1,$T$2:$T$161))/7,2)))</f>
      </c>
      <c r="Q99" s="6">
        <f>IF(OR(C99="",P99=""),"",ROUND(C99-P99,2))</f>
      </c>
      <c r="R99" s="4">
        <f>IF(COUNTA(B99:O99)=0,"",IF(OR(B99="Yes",AND(E99&lt;&gt;"",E99&gt;=10000)),1,0)+IF(OR(B99="Yes",G99="Yes",H99&lt;&gt;""),1,0)+IF(AND(J99&lt;&gt;"",J99&lt;=2400),1,0)+IF(N99="Yes",1,0))</f>
      </c>
      <c r="S99" s="4">
        <f>IF(AND(ISNUMBER(C99),COUNT($C$2:C99)=1),1,0)</f>
      </c>
      <c r="T99" s="4">
        <f>IF(A99="","",DATEVALUE(A99))</f>
      </c>
    </row>
    <row r="100">
      <c r="A100" t="inlineStr">
        <is>
          <t>2027-01-22</t>
        </is>
      </c>
      <c r="P100" s="6">
        <f>IF(OR(A100="",SUM($S$2:$S$161)=0),"",IF(T100&lt;SUMIF($S$2:$S$161,1,$T$2:$T$161),"",ROUND(SUMIF($S$2:$S$161,1,$C$2:$C$161)-0.75*(T100-SUMIF($S$2:$S$161,1,$T$2:$T$161))/7,2)))</f>
      </c>
      <c r="Q100" s="6">
        <f>IF(OR(C100="",P100=""),"",ROUND(C100-P100,2))</f>
      </c>
      <c r="R100" s="4">
        <f>IF(COUNTA(B100:O100)=0,"",IF(OR(B100="Yes",AND(E100&lt;&gt;"",E100&gt;=10000)),1,0)+IF(OR(B100="Yes",G100="Yes",H100&lt;&gt;""),1,0)+IF(AND(J100&lt;&gt;"",J100&lt;=2400),1,0)+IF(N100="Yes",1,0))</f>
      </c>
      <c r="S100" s="4">
        <f>IF(AND(ISNUMBER(C100),COUNT($C$2:C100)=1),1,0)</f>
      </c>
      <c r="T100" s="4">
        <f>IF(A100="","",DATEVALUE(A100))</f>
      </c>
    </row>
    <row r="101">
      <c r="A101" t="inlineStr">
        <is>
          <t>2027-01-23</t>
        </is>
      </c>
      <c r="P101" s="6">
        <f>IF(OR(A101="",SUM($S$2:$S$161)=0),"",IF(T101&lt;SUMIF($S$2:$S$161,1,$T$2:$T$161),"",ROUND(SUMIF($S$2:$S$161,1,$C$2:$C$161)-0.75*(T101-SUMIF($S$2:$S$161,1,$T$2:$T$161))/7,2)))</f>
      </c>
      <c r="Q101" s="6">
        <f>IF(OR(C101="",P101=""),"",ROUND(C101-P101,2))</f>
      </c>
      <c r="R101" s="4">
        <f>IF(COUNTA(B101:O101)=0,"",IF(OR(B101="Yes",AND(E101&lt;&gt;"",E101&gt;=10000)),1,0)+IF(OR(B101="Yes",G101="Yes",H101&lt;&gt;""),1,0)+IF(AND(J101&lt;&gt;"",J101&lt;=2400),1,0)+IF(N101="Yes",1,0))</f>
      </c>
      <c r="S101" s="4">
        <f>IF(AND(ISNUMBER(C101),COUNT($C$2:C101)=1),1,0)</f>
      </c>
      <c r="T101" s="4">
        <f>IF(A101="","",DATEVALUE(A101))</f>
      </c>
    </row>
    <row r="102">
      <c r="A102" t="inlineStr">
        <is>
          <t>2027-01-24</t>
        </is>
      </c>
      <c r="P102" s="6">
        <f>IF(OR(A102="",SUM($S$2:$S$161)=0),"",IF(T102&lt;SUMIF($S$2:$S$161,1,$T$2:$T$161),"",ROUND(SUMIF($S$2:$S$161,1,$C$2:$C$161)-0.75*(T102-SUMIF($S$2:$S$161,1,$T$2:$T$161))/7,2)))</f>
      </c>
      <c r="Q102" s="6">
        <f>IF(OR(C102="",P102=""),"",ROUND(C102-P102,2))</f>
      </c>
      <c r="R102" s="4">
        <f>IF(COUNTA(B102:O102)=0,"",IF(OR(B102="Yes",AND(E102&lt;&gt;"",E102&gt;=10000)),1,0)+IF(OR(B102="Yes",G102="Yes",H102&lt;&gt;""),1,0)+IF(AND(J102&lt;&gt;"",J102&lt;=2400),1,0)+IF(N102="Yes",1,0))</f>
      </c>
      <c r="S102" s="4">
        <f>IF(AND(ISNUMBER(C102),COUNT($C$2:C102)=1),1,0)</f>
      </c>
      <c r="T102" s="4">
        <f>IF(A102="","",DATEVALUE(A102))</f>
      </c>
    </row>
    <row r="103">
      <c r="A103" t="inlineStr">
        <is>
          <t>2027-01-25</t>
        </is>
      </c>
      <c r="P103" s="6">
        <f>IF(OR(A103="",SUM($S$2:$S$161)=0),"",IF(T103&lt;SUMIF($S$2:$S$161,1,$T$2:$T$161),"",ROUND(SUMIF($S$2:$S$161,1,$C$2:$C$161)-0.75*(T103-SUMIF($S$2:$S$161,1,$T$2:$T$161))/7,2)))</f>
      </c>
      <c r="Q103" s="6">
        <f>IF(OR(C103="",P103=""),"",ROUND(C103-P103,2))</f>
      </c>
      <c r="R103" s="4">
        <f>IF(COUNTA(B103:O103)=0,"",IF(OR(B103="Yes",AND(E103&lt;&gt;"",E103&gt;=10000)),1,0)+IF(OR(B103="Yes",G103="Yes",H103&lt;&gt;""),1,0)+IF(AND(J103&lt;&gt;"",J103&lt;=2400),1,0)+IF(N103="Yes",1,0))</f>
      </c>
      <c r="S103" s="4">
        <f>IF(AND(ISNUMBER(C103),COUNT($C$2:C103)=1),1,0)</f>
      </c>
      <c r="T103" s="4">
        <f>IF(A103="","",DATEVALUE(A103))</f>
      </c>
    </row>
    <row r="104">
      <c r="A104" t="inlineStr">
        <is>
          <t>2027-01-26</t>
        </is>
      </c>
      <c r="P104" s="6">
        <f>IF(OR(A104="",SUM($S$2:$S$161)=0),"",IF(T104&lt;SUMIF($S$2:$S$161,1,$T$2:$T$161),"",ROUND(SUMIF($S$2:$S$161,1,$C$2:$C$161)-0.75*(T104-SUMIF($S$2:$S$161,1,$T$2:$T$161))/7,2)))</f>
      </c>
      <c r="Q104" s="6">
        <f>IF(OR(C104="",P104=""),"",ROUND(C104-P104,2))</f>
      </c>
      <c r="R104" s="4">
        <f>IF(COUNTA(B104:O104)=0,"",IF(OR(B104="Yes",AND(E104&lt;&gt;"",E104&gt;=10000)),1,0)+IF(OR(B104="Yes",G104="Yes",H104&lt;&gt;""),1,0)+IF(AND(J104&lt;&gt;"",J104&lt;=2400),1,0)+IF(N104="Yes",1,0))</f>
      </c>
      <c r="S104" s="4">
        <f>IF(AND(ISNUMBER(C104),COUNT($C$2:C104)=1),1,0)</f>
      </c>
      <c r="T104" s="4">
        <f>IF(A104="","",DATEVALUE(A104))</f>
      </c>
    </row>
    <row r="105">
      <c r="A105" t="inlineStr">
        <is>
          <t>2027-01-27</t>
        </is>
      </c>
      <c r="P105" s="6">
        <f>IF(OR(A105="",SUM($S$2:$S$161)=0),"",IF(T105&lt;SUMIF($S$2:$S$161,1,$T$2:$T$161),"",ROUND(SUMIF($S$2:$S$161,1,$C$2:$C$161)-0.75*(T105-SUMIF($S$2:$S$161,1,$T$2:$T$161))/7,2)))</f>
      </c>
      <c r="Q105" s="6">
        <f>IF(OR(C105="",P105=""),"",ROUND(C105-P105,2))</f>
      </c>
      <c r="R105" s="4">
        <f>IF(COUNTA(B105:O105)=0,"",IF(OR(B105="Yes",AND(E105&lt;&gt;"",E105&gt;=10000)),1,0)+IF(OR(B105="Yes",G105="Yes",H105&lt;&gt;""),1,0)+IF(AND(J105&lt;&gt;"",J105&lt;=2400),1,0)+IF(N105="Yes",1,0))</f>
      </c>
      <c r="S105" s="4">
        <f>IF(AND(ISNUMBER(C105),COUNT($C$2:C105)=1),1,0)</f>
      </c>
      <c r="T105" s="4">
        <f>IF(A105="","",DATEVALUE(A105))</f>
      </c>
    </row>
    <row r="106">
      <c r="A106" t="inlineStr">
        <is>
          <t>2027-01-28</t>
        </is>
      </c>
      <c r="P106" s="6">
        <f>IF(OR(A106="",SUM($S$2:$S$161)=0),"",IF(T106&lt;SUMIF($S$2:$S$161,1,$T$2:$T$161),"",ROUND(SUMIF($S$2:$S$161,1,$C$2:$C$161)-0.75*(T106-SUMIF($S$2:$S$161,1,$T$2:$T$161))/7,2)))</f>
      </c>
      <c r="Q106" s="6">
        <f>IF(OR(C106="",P106=""),"",ROUND(C106-P106,2))</f>
      </c>
      <c r="R106" s="4">
        <f>IF(COUNTA(B106:O106)=0,"",IF(OR(B106="Yes",AND(E106&lt;&gt;"",E106&gt;=10000)),1,0)+IF(OR(B106="Yes",G106="Yes",H106&lt;&gt;""),1,0)+IF(AND(J106&lt;&gt;"",J106&lt;=2400),1,0)+IF(N106="Yes",1,0))</f>
      </c>
      <c r="S106" s="4">
        <f>IF(AND(ISNUMBER(C106),COUNT($C$2:C106)=1),1,0)</f>
      </c>
      <c r="T106" s="4">
        <f>IF(A106="","",DATEVALUE(A106))</f>
      </c>
    </row>
    <row r="107">
      <c r="A107" t="inlineStr">
        <is>
          <t>2027-01-29</t>
        </is>
      </c>
      <c r="P107" s="6">
        <f>IF(OR(A107="",SUM($S$2:$S$161)=0),"",IF(T107&lt;SUMIF($S$2:$S$161,1,$T$2:$T$161),"",ROUND(SUMIF($S$2:$S$161,1,$C$2:$C$161)-0.75*(T107-SUMIF($S$2:$S$161,1,$T$2:$T$161))/7,2)))</f>
      </c>
      <c r="Q107" s="6">
        <f>IF(OR(C107="",P107=""),"",ROUND(C107-P107,2))</f>
      </c>
      <c r="R107" s="4">
        <f>IF(COUNTA(B107:O107)=0,"",IF(OR(B107="Yes",AND(E107&lt;&gt;"",E107&gt;=10000)),1,0)+IF(OR(B107="Yes",G107="Yes",H107&lt;&gt;""),1,0)+IF(AND(J107&lt;&gt;"",J107&lt;=2400),1,0)+IF(N107="Yes",1,0))</f>
      </c>
      <c r="S107" s="4">
        <f>IF(AND(ISNUMBER(C107),COUNT($C$2:C107)=1),1,0)</f>
      </c>
      <c r="T107" s="4">
        <f>IF(A107="","",DATEVALUE(A107))</f>
      </c>
    </row>
    <row r="108">
      <c r="A108" t="inlineStr">
        <is>
          <t>2027-01-30</t>
        </is>
      </c>
      <c r="P108" s="6">
        <f>IF(OR(A108="",SUM($S$2:$S$161)=0),"",IF(T108&lt;SUMIF($S$2:$S$161,1,$T$2:$T$161),"",ROUND(SUMIF($S$2:$S$161,1,$C$2:$C$161)-0.75*(T108-SUMIF($S$2:$S$161,1,$T$2:$T$161))/7,2)))</f>
      </c>
      <c r="Q108" s="6">
        <f>IF(OR(C108="",P108=""),"",ROUND(C108-P108,2))</f>
      </c>
      <c r="R108" s="4">
        <f>IF(COUNTA(B108:O108)=0,"",IF(OR(B108="Yes",AND(E108&lt;&gt;"",E108&gt;=10000)),1,0)+IF(OR(B108="Yes",G108="Yes",H108&lt;&gt;""),1,0)+IF(AND(J108&lt;&gt;"",J108&lt;=2400),1,0)+IF(N108="Yes",1,0))</f>
      </c>
      <c r="S108" s="4">
        <f>IF(AND(ISNUMBER(C108),COUNT($C$2:C108)=1),1,0)</f>
      </c>
      <c r="T108" s="4">
        <f>IF(A108="","",DATEVALUE(A108))</f>
      </c>
    </row>
    <row r="109">
      <c r="A109" t="inlineStr">
        <is>
          <t>2027-01-31</t>
        </is>
      </c>
      <c r="P109" s="6">
        <f>IF(OR(A109="",SUM($S$2:$S$161)=0),"",IF(T109&lt;SUMIF($S$2:$S$161,1,$T$2:$T$161),"",ROUND(SUMIF($S$2:$S$161,1,$C$2:$C$161)-0.75*(T109-SUMIF($S$2:$S$161,1,$T$2:$T$161))/7,2)))</f>
      </c>
      <c r="Q109" s="6">
        <f>IF(OR(C109="",P109=""),"",ROUND(C109-P109,2))</f>
      </c>
      <c r="R109" s="4">
        <f>IF(COUNTA(B109:O109)=0,"",IF(OR(B109="Yes",AND(E109&lt;&gt;"",E109&gt;=10000)),1,0)+IF(OR(B109="Yes",G109="Yes",H109&lt;&gt;""),1,0)+IF(AND(J109&lt;&gt;"",J109&lt;=2400),1,0)+IF(N109="Yes",1,0))</f>
      </c>
      <c r="S109" s="4">
        <f>IF(AND(ISNUMBER(C109),COUNT($C$2:C109)=1),1,0)</f>
      </c>
      <c r="T109" s="4">
        <f>IF(A109="","",DATEVALUE(A109))</f>
      </c>
    </row>
    <row r="110">
      <c r="A110" t="inlineStr">
        <is>
          <t>2027-02-01</t>
        </is>
      </c>
      <c r="P110" s="6">
        <f>IF(OR(A110="",SUM($S$2:$S$161)=0),"",IF(T110&lt;SUMIF($S$2:$S$161,1,$T$2:$T$161),"",ROUND(SUMIF($S$2:$S$161,1,$C$2:$C$161)-0.75*(T110-SUMIF($S$2:$S$161,1,$T$2:$T$161))/7,2)))</f>
      </c>
      <c r="Q110" s="6">
        <f>IF(OR(C110="",P110=""),"",ROUND(C110-P110,2))</f>
      </c>
      <c r="R110" s="4">
        <f>IF(COUNTA(B110:O110)=0,"",IF(OR(B110="Yes",AND(E110&lt;&gt;"",E110&gt;=10000)),1,0)+IF(OR(B110="Yes",G110="Yes",H110&lt;&gt;""),1,0)+IF(AND(J110&lt;&gt;"",J110&lt;=2400),1,0)+IF(N110="Yes",1,0))</f>
      </c>
      <c r="S110" s="4">
        <f>IF(AND(ISNUMBER(C110),COUNT($C$2:C110)=1),1,0)</f>
      </c>
      <c r="T110" s="4">
        <f>IF(A110="","",DATEVALUE(A110))</f>
      </c>
    </row>
    <row r="111">
      <c r="A111" t="inlineStr">
        <is>
          <t>2027-02-02</t>
        </is>
      </c>
      <c r="P111" s="6">
        <f>IF(OR(A111="",SUM($S$2:$S$161)=0),"",IF(T111&lt;SUMIF($S$2:$S$161,1,$T$2:$T$161),"",ROUND(SUMIF($S$2:$S$161,1,$C$2:$C$161)-0.75*(T111-SUMIF($S$2:$S$161,1,$T$2:$T$161))/7,2)))</f>
      </c>
      <c r="Q111" s="6">
        <f>IF(OR(C111="",P111=""),"",ROUND(C111-P111,2))</f>
      </c>
      <c r="R111" s="4">
        <f>IF(COUNTA(B111:O111)=0,"",IF(OR(B111="Yes",AND(E111&lt;&gt;"",E111&gt;=10000)),1,0)+IF(OR(B111="Yes",G111="Yes",H111&lt;&gt;""),1,0)+IF(AND(J111&lt;&gt;"",J111&lt;=2400),1,0)+IF(N111="Yes",1,0))</f>
      </c>
      <c r="S111" s="4">
        <f>IF(AND(ISNUMBER(C111),COUNT($C$2:C111)=1),1,0)</f>
      </c>
      <c r="T111" s="4">
        <f>IF(A111="","",DATEVALUE(A111))</f>
      </c>
    </row>
    <row r="112">
      <c r="A112" t="inlineStr">
        <is>
          <t>2027-02-03</t>
        </is>
      </c>
      <c r="P112" s="6">
        <f>IF(OR(A112="",SUM($S$2:$S$161)=0),"",IF(T112&lt;SUMIF($S$2:$S$161,1,$T$2:$T$161),"",ROUND(SUMIF($S$2:$S$161,1,$C$2:$C$161)-0.75*(T112-SUMIF($S$2:$S$161,1,$T$2:$T$161))/7,2)))</f>
      </c>
      <c r="Q112" s="6">
        <f>IF(OR(C112="",P112=""),"",ROUND(C112-P112,2))</f>
      </c>
      <c r="R112" s="4">
        <f>IF(COUNTA(B112:O112)=0,"",IF(OR(B112="Yes",AND(E112&lt;&gt;"",E112&gt;=10000)),1,0)+IF(OR(B112="Yes",G112="Yes",H112&lt;&gt;""),1,0)+IF(AND(J112&lt;&gt;"",J112&lt;=2400),1,0)+IF(N112="Yes",1,0))</f>
      </c>
      <c r="S112" s="4">
        <f>IF(AND(ISNUMBER(C112),COUNT($C$2:C112)=1),1,0)</f>
      </c>
      <c r="T112" s="4">
        <f>IF(A112="","",DATEVALUE(A112))</f>
      </c>
    </row>
    <row r="113">
      <c r="A113" t="inlineStr">
        <is>
          <t>2027-02-04</t>
        </is>
      </c>
      <c r="P113" s="6">
        <f>IF(OR(A113="",SUM($S$2:$S$161)=0),"",IF(T113&lt;SUMIF($S$2:$S$161,1,$T$2:$T$161),"",ROUND(SUMIF($S$2:$S$161,1,$C$2:$C$161)-0.75*(T113-SUMIF($S$2:$S$161,1,$T$2:$T$161))/7,2)))</f>
      </c>
      <c r="Q113" s="6">
        <f>IF(OR(C113="",P113=""),"",ROUND(C113-P113,2))</f>
      </c>
      <c r="R113" s="4">
        <f>IF(COUNTA(B113:O113)=0,"",IF(OR(B113="Yes",AND(E113&lt;&gt;"",E113&gt;=10000)),1,0)+IF(OR(B113="Yes",G113="Yes",H113&lt;&gt;""),1,0)+IF(AND(J113&lt;&gt;"",J113&lt;=2400),1,0)+IF(N113="Yes",1,0))</f>
      </c>
      <c r="S113" s="4">
        <f>IF(AND(ISNUMBER(C113),COUNT($C$2:C113)=1),1,0)</f>
      </c>
      <c r="T113" s="4">
        <f>IF(A113="","",DATEVALUE(A113))</f>
      </c>
    </row>
    <row r="114">
      <c r="A114" t="inlineStr">
        <is>
          <t>2027-02-05</t>
        </is>
      </c>
      <c r="P114" s="6">
        <f>IF(OR(A114="",SUM($S$2:$S$161)=0),"",IF(T114&lt;SUMIF($S$2:$S$161,1,$T$2:$T$161),"",ROUND(SUMIF($S$2:$S$161,1,$C$2:$C$161)-0.75*(T114-SUMIF($S$2:$S$161,1,$T$2:$T$161))/7,2)))</f>
      </c>
      <c r="Q114" s="6">
        <f>IF(OR(C114="",P114=""),"",ROUND(C114-P114,2))</f>
      </c>
      <c r="R114" s="4">
        <f>IF(COUNTA(B114:O114)=0,"",IF(OR(B114="Yes",AND(E114&lt;&gt;"",E114&gt;=10000)),1,0)+IF(OR(B114="Yes",G114="Yes",H114&lt;&gt;""),1,0)+IF(AND(J114&lt;&gt;"",J114&lt;=2400),1,0)+IF(N114="Yes",1,0))</f>
      </c>
      <c r="S114" s="4">
        <f>IF(AND(ISNUMBER(C114),COUNT($C$2:C114)=1),1,0)</f>
      </c>
      <c r="T114" s="4">
        <f>IF(A114="","",DATEVALUE(A114))</f>
      </c>
    </row>
    <row r="115">
      <c r="A115" t="inlineStr">
        <is>
          <t>2027-02-06</t>
        </is>
      </c>
      <c r="P115" s="6">
        <f>IF(OR(A115="",SUM($S$2:$S$161)=0),"",IF(T115&lt;SUMIF($S$2:$S$161,1,$T$2:$T$161),"",ROUND(SUMIF($S$2:$S$161,1,$C$2:$C$161)-0.75*(T115-SUMIF($S$2:$S$161,1,$T$2:$T$161))/7,2)))</f>
      </c>
      <c r="Q115" s="6">
        <f>IF(OR(C115="",P115=""),"",ROUND(C115-P115,2))</f>
      </c>
      <c r="R115" s="4">
        <f>IF(COUNTA(B115:O115)=0,"",IF(OR(B115="Yes",AND(E115&lt;&gt;"",E115&gt;=10000)),1,0)+IF(OR(B115="Yes",G115="Yes",H115&lt;&gt;""),1,0)+IF(AND(J115&lt;&gt;"",J115&lt;=2400),1,0)+IF(N115="Yes",1,0))</f>
      </c>
      <c r="S115" s="4">
        <f>IF(AND(ISNUMBER(C115),COUNT($C$2:C115)=1),1,0)</f>
      </c>
      <c r="T115" s="4">
        <f>IF(A115="","",DATEVALUE(A115))</f>
      </c>
    </row>
    <row r="116">
      <c r="A116" t="inlineStr">
        <is>
          <t>2027-02-07</t>
        </is>
      </c>
      <c r="P116" s="6">
        <f>IF(OR(A116="",SUM($S$2:$S$161)=0),"",IF(T116&lt;SUMIF($S$2:$S$161,1,$T$2:$T$161),"",ROUND(SUMIF($S$2:$S$161,1,$C$2:$C$161)-0.75*(T116-SUMIF($S$2:$S$161,1,$T$2:$T$161))/7,2)))</f>
      </c>
      <c r="Q116" s="6">
        <f>IF(OR(C116="",P116=""),"",ROUND(C116-P116,2))</f>
      </c>
      <c r="R116" s="4">
        <f>IF(COUNTA(B116:O116)=0,"",IF(OR(B116="Yes",AND(E116&lt;&gt;"",E116&gt;=10000)),1,0)+IF(OR(B116="Yes",G116="Yes",H116&lt;&gt;""),1,0)+IF(AND(J116&lt;&gt;"",J116&lt;=2400),1,0)+IF(N116="Yes",1,0))</f>
      </c>
      <c r="S116" s="4">
        <f>IF(AND(ISNUMBER(C116),COUNT($C$2:C116)=1),1,0)</f>
      </c>
      <c r="T116" s="4">
        <f>IF(A116="","",DATEVALUE(A116))</f>
      </c>
    </row>
    <row r="117">
      <c r="A117" t="inlineStr">
        <is>
          <t>2027-02-08</t>
        </is>
      </c>
      <c r="P117" s="6">
        <f>IF(OR(A117="",SUM($S$2:$S$161)=0),"",IF(T117&lt;SUMIF($S$2:$S$161,1,$T$2:$T$161),"",ROUND(SUMIF($S$2:$S$161,1,$C$2:$C$161)-0.75*(T117-SUMIF($S$2:$S$161,1,$T$2:$T$161))/7,2)))</f>
      </c>
      <c r="Q117" s="6">
        <f>IF(OR(C117="",P117=""),"",ROUND(C117-P117,2))</f>
      </c>
      <c r="R117" s="4">
        <f>IF(COUNTA(B117:O117)=0,"",IF(OR(B117="Yes",AND(E117&lt;&gt;"",E117&gt;=10000)),1,0)+IF(OR(B117="Yes",G117="Yes",H117&lt;&gt;""),1,0)+IF(AND(J117&lt;&gt;"",J117&lt;=2400),1,0)+IF(N117="Yes",1,0))</f>
      </c>
      <c r="S117" s="4">
        <f>IF(AND(ISNUMBER(C117),COUNT($C$2:C117)=1),1,0)</f>
      </c>
      <c r="T117" s="4">
        <f>IF(A117="","",DATEVALUE(A117))</f>
      </c>
    </row>
    <row r="118">
      <c r="A118" t="inlineStr">
        <is>
          <t>2027-02-09</t>
        </is>
      </c>
      <c r="P118" s="6">
        <f>IF(OR(A118="",SUM($S$2:$S$161)=0),"",IF(T118&lt;SUMIF($S$2:$S$161,1,$T$2:$T$161),"",ROUND(SUMIF($S$2:$S$161,1,$C$2:$C$161)-0.75*(T118-SUMIF($S$2:$S$161,1,$T$2:$T$161))/7,2)))</f>
      </c>
      <c r="Q118" s="6">
        <f>IF(OR(C118="",P118=""),"",ROUND(C118-P118,2))</f>
      </c>
      <c r="R118" s="4">
        <f>IF(COUNTA(B118:O118)=0,"",IF(OR(B118="Yes",AND(E118&lt;&gt;"",E118&gt;=10000)),1,0)+IF(OR(B118="Yes",G118="Yes",H118&lt;&gt;""),1,0)+IF(AND(J118&lt;&gt;"",J118&lt;=2400),1,0)+IF(N118="Yes",1,0))</f>
      </c>
      <c r="S118" s="4">
        <f>IF(AND(ISNUMBER(C118),COUNT($C$2:C118)=1),1,0)</f>
      </c>
      <c r="T118" s="4">
        <f>IF(A118="","",DATEVALUE(A118))</f>
      </c>
    </row>
    <row r="119">
      <c r="A119" t="inlineStr">
        <is>
          <t>2027-02-10</t>
        </is>
      </c>
      <c r="P119" s="6">
        <f>IF(OR(A119="",SUM($S$2:$S$161)=0),"",IF(T119&lt;SUMIF($S$2:$S$161,1,$T$2:$T$161),"",ROUND(SUMIF($S$2:$S$161,1,$C$2:$C$161)-0.75*(T119-SUMIF($S$2:$S$161,1,$T$2:$T$161))/7,2)))</f>
      </c>
      <c r="Q119" s="6">
        <f>IF(OR(C119="",P119=""),"",ROUND(C119-P119,2))</f>
      </c>
      <c r="R119" s="4">
        <f>IF(COUNTA(B119:O119)=0,"",IF(OR(B119="Yes",AND(E119&lt;&gt;"",E119&gt;=10000)),1,0)+IF(OR(B119="Yes",G119="Yes",H119&lt;&gt;""),1,0)+IF(AND(J119&lt;&gt;"",J119&lt;=2400),1,0)+IF(N119="Yes",1,0))</f>
      </c>
      <c r="S119" s="4">
        <f>IF(AND(ISNUMBER(C119),COUNT($C$2:C119)=1),1,0)</f>
      </c>
      <c r="T119" s="4">
        <f>IF(A119="","",DATEVALUE(A119))</f>
      </c>
    </row>
    <row r="120">
      <c r="A120" t="inlineStr">
        <is>
          <t>2027-02-11</t>
        </is>
      </c>
      <c r="P120" s="6">
        <f>IF(OR(A120="",SUM($S$2:$S$161)=0),"",IF(T120&lt;SUMIF($S$2:$S$161,1,$T$2:$T$161),"",ROUND(SUMIF($S$2:$S$161,1,$C$2:$C$161)-0.75*(T120-SUMIF($S$2:$S$161,1,$T$2:$T$161))/7,2)))</f>
      </c>
      <c r="Q120" s="6">
        <f>IF(OR(C120="",P120=""),"",ROUND(C120-P120,2))</f>
      </c>
      <c r="R120" s="4">
        <f>IF(COUNTA(B120:O120)=0,"",IF(OR(B120="Yes",AND(E120&lt;&gt;"",E120&gt;=10000)),1,0)+IF(OR(B120="Yes",G120="Yes",H120&lt;&gt;""),1,0)+IF(AND(J120&lt;&gt;"",J120&lt;=2400),1,0)+IF(N120="Yes",1,0))</f>
      </c>
      <c r="S120" s="4">
        <f>IF(AND(ISNUMBER(C120),COUNT($C$2:C120)=1),1,0)</f>
      </c>
      <c r="T120" s="4">
        <f>IF(A120="","",DATEVALUE(A120))</f>
      </c>
    </row>
    <row r="121">
      <c r="A121" t="inlineStr">
        <is>
          <t>2027-02-12</t>
        </is>
      </c>
      <c r="P121" s="6">
        <f>IF(OR(A121="",SUM($S$2:$S$161)=0),"",IF(T121&lt;SUMIF($S$2:$S$161,1,$T$2:$T$161),"",ROUND(SUMIF($S$2:$S$161,1,$C$2:$C$161)-0.75*(T121-SUMIF($S$2:$S$161,1,$T$2:$T$161))/7,2)))</f>
      </c>
      <c r="Q121" s="6">
        <f>IF(OR(C121="",P121=""),"",ROUND(C121-P121,2))</f>
      </c>
      <c r="R121" s="4">
        <f>IF(COUNTA(B121:O121)=0,"",IF(OR(B121="Yes",AND(E121&lt;&gt;"",E121&gt;=10000)),1,0)+IF(OR(B121="Yes",G121="Yes",H121&lt;&gt;""),1,0)+IF(AND(J121&lt;&gt;"",J121&lt;=2400),1,0)+IF(N121="Yes",1,0))</f>
      </c>
      <c r="S121" s="4">
        <f>IF(AND(ISNUMBER(C121),COUNT($C$2:C121)=1),1,0)</f>
      </c>
      <c r="T121" s="4">
        <f>IF(A121="","",DATEVALUE(A121))</f>
      </c>
    </row>
    <row r="122">
      <c r="P122" s="6">
        <f>IF(OR(A122="",SUM($S$2:$S$161)=0),"",IF(T122&lt;SUMIF($S$2:$S$161,1,$T$2:$T$161),"",ROUND(SUMIF($S$2:$S$161,1,$C$2:$C$161)-0.75*(T122-SUMIF($S$2:$S$161,1,$T$2:$T$161))/7,2)))</f>
      </c>
      <c r="Q122" s="6">
        <f>IF(OR(C122="",P122=""),"",ROUND(C122-P122,2))</f>
      </c>
      <c r="R122" s="4">
        <f>IF(COUNTA(B122:O122)=0,"",IF(OR(B122="Yes",AND(E122&lt;&gt;"",E122&gt;=10000)),1,0)+IF(OR(B122="Yes",G122="Yes",H122&lt;&gt;""),1,0)+IF(AND(J122&lt;&gt;"",J122&lt;=2400),1,0)+IF(N122="Yes",1,0))</f>
      </c>
      <c r="S122" s="4">
        <f>IF(AND(ISNUMBER(C122),COUNT($C$2:C122)=1),1,0)</f>
      </c>
      <c r="T122" s="4">
        <f>IF(A122="","",DATEVALUE(A122))</f>
      </c>
    </row>
    <row r="123">
      <c r="P123" s="6">
        <f>IF(OR(A123="",SUM($S$2:$S$161)=0),"",IF(T123&lt;SUMIF($S$2:$S$161,1,$T$2:$T$161),"",ROUND(SUMIF($S$2:$S$161,1,$C$2:$C$161)-0.75*(T123-SUMIF($S$2:$S$161,1,$T$2:$T$161))/7,2)))</f>
      </c>
      <c r="Q123" s="6">
        <f>IF(OR(C123="",P123=""),"",ROUND(C123-P123,2))</f>
      </c>
      <c r="R123" s="4">
        <f>IF(COUNTA(B123:O123)=0,"",IF(OR(B123="Yes",AND(E123&lt;&gt;"",E123&gt;=10000)),1,0)+IF(OR(B123="Yes",G123="Yes",H123&lt;&gt;""),1,0)+IF(AND(J123&lt;&gt;"",J123&lt;=2400),1,0)+IF(N123="Yes",1,0))</f>
      </c>
      <c r="S123" s="4">
        <f>IF(AND(ISNUMBER(C123),COUNT($C$2:C123)=1),1,0)</f>
      </c>
      <c r="T123" s="4">
        <f>IF(A123="","",DATEVALUE(A123))</f>
      </c>
    </row>
    <row r="124">
      <c r="P124" s="6">
        <f>IF(OR(A124="",SUM($S$2:$S$161)=0),"",IF(T124&lt;SUMIF($S$2:$S$161,1,$T$2:$T$161),"",ROUND(SUMIF($S$2:$S$161,1,$C$2:$C$161)-0.75*(T124-SUMIF($S$2:$S$161,1,$T$2:$T$161))/7,2)))</f>
      </c>
      <c r="Q124" s="6">
        <f>IF(OR(C124="",P124=""),"",ROUND(C124-P124,2))</f>
      </c>
      <c r="R124" s="4">
        <f>IF(COUNTA(B124:O124)=0,"",IF(OR(B124="Yes",AND(E124&lt;&gt;"",E124&gt;=10000)),1,0)+IF(OR(B124="Yes",G124="Yes",H124&lt;&gt;""),1,0)+IF(AND(J124&lt;&gt;"",J124&lt;=2400),1,0)+IF(N124="Yes",1,0))</f>
      </c>
      <c r="S124" s="4">
        <f>IF(AND(ISNUMBER(C124),COUNT($C$2:C124)=1),1,0)</f>
      </c>
      <c r="T124" s="4">
        <f>IF(A124="","",DATEVALUE(A124))</f>
      </c>
    </row>
    <row r="125">
      <c r="P125" s="6">
        <f>IF(OR(A125="",SUM($S$2:$S$161)=0),"",IF(T125&lt;SUMIF($S$2:$S$161,1,$T$2:$T$161),"",ROUND(SUMIF($S$2:$S$161,1,$C$2:$C$161)-0.75*(T125-SUMIF($S$2:$S$161,1,$T$2:$T$161))/7,2)))</f>
      </c>
      <c r="Q125" s="6">
        <f>IF(OR(C125="",P125=""),"",ROUND(C125-P125,2))</f>
      </c>
      <c r="R125" s="4">
        <f>IF(COUNTA(B125:O125)=0,"",IF(OR(B125="Yes",AND(E125&lt;&gt;"",E125&gt;=10000)),1,0)+IF(OR(B125="Yes",G125="Yes",H125&lt;&gt;""),1,0)+IF(AND(J125&lt;&gt;"",J125&lt;=2400),1,0)+IF(N125="Yes",1,0))</f>
      </c>
      <c r="S125" s="4">
        <f>IF(AND(ISNUMBER(C125),COUNT($C$2:C125)=1),1,0)</f>
      </c>
      <c r="T125" s="4">
        <f>IF(A125="","",DATEVALUE(A125))</f>
      </c>
    </row>
    <row r="126">
      <c r="P126" s="6">
        <f>IF(OR(A126="",SUM($S$2:$S$161)=0),"",IF(T126&lt;SUMIF($S$2:$S$161,1,$T$2:$T$161),"",ROUND(SUMIF($S$2:$S$161,1,$C$2:$C$161)-0.75*(T126-SUMIF($S$2:$S$161,1,$T$2:$T$161))/7,2)))</f>
      </c>
      <c r="Q126" s="6">
        <f>IF(OR(C126="",P126=""),"",ROUND(C126-P126,2))</f>
      </c>
      <c r="R126" s="4">
        <f>IF(COUNTA(B126:O126)=0,"",IF(OR(B126="Yes",AND(E126&lt;&gt;"",E126&gt;=10000)),1,0)+IF(OR(B126="Yes",G126="Yes",H126&lt;&gt;""),1,0)+IF(AND(J126&lt;&gt;"",J126&lt;=2400),1,0)+IF(N126="Yes",1,0))</f>
      </c>
      <c r="S126" s="4">
        <f>IF(AND(ISNUMBER(C126),COUNT($C$2:C126)=1),1,0)</f>
      </c>
      <c r="T126" s="4">
        <f>IF(A126="","",DATEVALUE(A126))</f>
      </c>
    </row>
    <row r="127">
      <c r="P127" s="6">
        <f>IF(OR(A127="",SUM($S$2:$S$161)=0),"",IF(T127&lt;SUMIF($S$2:$S$161,1,$T$2:$T$161),"",ROUND(SUMIF($S$2:$S$161,1,$C$2:$C$161)-0.75*(T127-SUMIF($S$2:$S$161,1,$T$2:$T$161))/7,2)))</f>
      </c>
      <c r="Q127" s="6">
        <f>IF(OR(C127="",P127=""),"",ROUND(C127-P127,2))</f>
      </c>
      <c r="R127" s="4">
        <f>IF(COUNTA(B127:O127)=0,"",IF(OR(B127="Yes",AND(E127&lt;&gt;"",E127&gt;=10000)),1,0)+IF(OR(B127="Yes",G127="Yes",H127&lt;&gt;""),1,0)+IF(AND(J127&lt;&gt;"",J127&lt;=2400),1,0)+IF(N127="Yes",1,0))</f>
      </c>
      <c r="S127" s="4">
        <f>IF(AND(ISNUMBER(C127),COUNT($C$2:C127)=1),1,0)</f>
      </c>
      <c r="T127" s="4">
        <f>IF(A127="","",DATEVALUE(A127))</f>
      </c>
    </row>
    <row r="128">
      <c r="P128" s="6">
        <f>IF(OR(A128="",SUM($S$2:$S$161)=0),"",IF(T128&lt;SUMIF($S$2:$S$161,1,$T$2:$T$161),"",ROUND(SUMIF($S$2:$S$161,1,$C$2:$C$161)-0.75*(T128-SUMIF($S$2:$S$161,1,$T$2:$T$161))/7,2)))</f>
      </c>
      <c r="Q128" s="6">
        <f>IF(OR(C128="",P128=""),"",ROUND(C128-P128,2))</f>
      </c>
      <c r="R128" s="4">
        <f>IF(COUNTA(B128:O128)=0,"",IF(OR(B128="Yes",AND(E128&lt;&gt;"",E128&gt;=10000)),1,0)+IF(OR(B128="Yes",G128="Yes",H128&lt;&gt;""),1,0)+IF(AND(J128&lt;&gt;"",J128&lt;=2400),1,0)+IF(N128="Yes",1,0))</f>
      </c>
      <c r="S128" s="4">
        <f>IF(AND(ISNUMBER(C128),COUNT($C$2:C128)=1),1,0)</f>
      </c>
      <c r="T128" s="4">
        <f>IF(A128="","",DATEVALUE(A128))</f>
      </c>
    </row>
    <row r="129">
      <c r="P129" s="6">
        <f>IF(OR(A129="",SUM($S$2:$S$161)=0),"",IF(T129&lt;SUMIF($S$2:$S$161,1,$T$2:$T$161),"",ROUND(SUMIF($S$2:$S$161,1,$C$2:$C$161)-0.75*(T129-SUMIF($S$2:$S$161,1,$T$2:$T$161))/7,2)))</f>
      </c>
      <c r="Q129" s="6">
        <f>IF(OR(C129="",P129=""),"",ROUND(C129-P129,2))</f>
      </c>
      <c r="R129" s="4">
        <f>IF(COUNTA(B129:O129)=0,"",IF(OR(B129="Yes",AND(E129&lt;&gt;"",E129&gt;=10000)),1,0)+IF(OR(B129="Yes",G129="Yes",H129&lt;&gt;""),1,0)+IF(AND(J129&lt;&gt;"",J129&lt;=2400),1,0)+IF(N129="Yes",1,0))</f>
      </c>
      <c r="S129" s="4">
        <f>IF(AND(ISNUMBER(C129),COUNT($C$2:C129)=1),1,0)</f>
      </c>
      <c r="T129" s="4">
        <f>IF(A129="","",DATEVALUE(A129))</f>
      </c>
    </row>
    <row r="130">
      <c r="P130" s="6">
        <f>IF(OR(A130="",SUM($S$2:$S$161)=0),"",IF(T130&lt;SUMIF($S$2:$S$161,1,$T$2:$T$161),"",ROUND(SUMIF($S$2:$S$161,1,$C$2:$C$161)-0.75*(T130-SUMIF($S$2:$S$161,1,$T$2:$T$161))/7,2)))</f>
      </c>
      <c r="Q130" s="6">
        <f>IF(OR(C130="",P130=""),"",ROUND(C130-P130,2))</f>
      </c>
      <c r="R130" s="4">
        <f>IF(COUNTA(B130:O130)=0,"",IF(OR(B130="Yes",AND(E130&lt;&gt;"",E130&gt;=10000)),1,0)+IF(OR(B130="Yes",G130="Yes",H130&lt;&gt;""),1,0)+IF(AND(J130&lt;&gt;"",J130&lt;=2400),1,0)+IF(N130="Yes",1,0))</f>
      </c>
      <c r="S130" s="4">
        <f>IF(AND(ISNUMBER(C130),COUNT($C$2:C130)=1),1,0)</f>
      </c>
      <c r="T130" s="4">
        <f>IF(A130="","",DATEVALUE(A130))</f>
      </c>
    </row>
    <row r="131">
      <c r="P131" s="6">
        <f>IF(OR(A131="",SUM($S$2:$S$161)=0),"",IF(T131&lt;SUMIF($S$2:$S$161,1,$T$2:$T$161),"",ROUND(SUMIF($S$2:$S$161,1,$C$2:$C$161)-0.75*(T131-SUMIF($S$2:$S$161,1,$T$2:$T$161))/7,2)))</f>
      </c>
      <c r="Q131" s="6">
        <f>IF(OR(C131="",P131=""),"",ROUND(C131-P131,2))</f>
      </c>
      <c r="R131" s="4">
        <f>IF(COUNTA(B131:O131)=0,"",IF(OR(B131="Yes",AND(E131&lt;&gt;"",E131&gt;=10000)),1,0)+IF(OR(B131="Yes",G131="Yes",H131&lt;&gt;""),1,0)+IF(AND(J131&lt;&gt;"",J131&lt;=2400),1,0)+IF(N131="Yes",1,0))</f>
      </c>
      <c r="S131" s="4">
        <f>IF(AND(ISNUMBER(C131),COUNT($C$2:C131)=1),1,0)</f>
      </c>
      <c r="T131" s="4">
        <f>IF(A131="","",DATEVALUE(A131))</f>
      </c>
    </row>
    <row r="132">
      <c r="P132" s="6">
        <f>IF(OR(A132="",SUM($S$2:$S$161)=0),"",IF(T132&lt;SUMIF($S$2:$S$161,1,$T$2:$T$161),"",ROUND(SUMIF($S$2:$S$161,1,$C$2:$C$161)-0.75*(T132-SUMIF($S$2:$S$161,1,$T$2:$T$161))/7,2)))</f>
      </c>
      <c r="Q132" s="6">
        <f>IF(OR(C132="",P132=""),"",ROUND(C132-P132,2))</f>
      </c>
      <c r="R132" s="4">
        <f>IF(COUNTA(B132:O132)=0,"",IF(OR(B132="Yes",AND(E132&lt;&gt;"",E132&gt;=10000)),1,0)+IF(OR(B132="Yes",G132="Yes",H132&lt;&gt;""),1,0)+IF(AND(J132&lt;&gt;"",J132&lt;=2400),1,0)+IF(N132="Yes",1,0))</f>
      </c>
      <c r="S132" s="4">
        <f>IF(AND(ISNUMBER(C132),COUNT($C$2:C132)=1),1,0)</f>
      </c>
      <c r="T132" s="4">
        <f>IF(A132="","",DATEVALUE(A132))</f>
      </c>
    </row>
    <row r="133">
      <c r="P133" s="6">
        <f>IF(OR(A133="",SUM($S$2:$S$161)=0),"",IF(T133&lt;SUMIF($S$2:$S$161,1,$T$2:$T$161),"",ROUND(SUMIF($S$2:$S$161,1,$C$2:$C$161)-0.75*(T133-SUMIF($S$2:$S$161,1,$T$2:$T$161))/7,2)))</f>
      </c>
      <c r="Q133" s="6">
        <f>IF(OR(C133="",P133=""),"",ROUND(C133-P133,2))</f>
      </c>
      <c r="R133" s="4">
        <f>IF(COUNTA(B133:O133)=0,"",IF(OR(B133="Yes",AND(E133&lt;&gt;"",E133&gt;=10000)),1,0)+IF(OR(B133="Yes",G133="Yes",H133&lt;&gt;""),1,0)+IF(AND(J133&lt;&gt;"",J133&lt;=2400),1,0)+IF(N133="Yes",1,0))</f>
      </c>
      <c r="S133" s="4">
        <f>IF(AND(ISNUMBER(C133),COUNT($C$2:C133)=1),1,0)</f>
      </c>
      <c r="T133" s="4">
        <f>IF(A133="","",DATEVALUE(A133))</f>
      </c>
    </row>
    <row r="134">
      <c r="P134" s="6">
        <f>IF(OR(A134="",SUM($S$2:$S$161)=0),"",IF(T134&lt;SUMIF($S$2:$S$161,1,$T$2:$T$161),"",ROUND(SUMIF($S$2:$S$161,1,$C$2:$C$161)-0.75*(T134-SUMIF($S$2:$S$161,1,$T$2:$T$161))/7,2)))</f>
      </c>
      <c r="Q134" s="6">
        <f>IF(OR(C134="",P134=""),"",ROUND(C134-P134,2))</f>
      </c>
      <c r="R134" s="4">
        <f>IF(COUNTA(B134:O134)=0,"",IF(OR(B134="Yes",AND(E134&lt;&gt;"",E134&gt;=10000)),1,0)+IF(OR(B134="Yes",G134="Yes",H134&lt;&gt;""),1,0)+IF(AND(J134&lt;&gt;"",J134&lt;=2400),1,0)+IF(N134="Yes",1,0))</f>
      </c>
      <c r="S134" s="4">
        <f>IF(AND(ISNUMBER(C134),COUNT($C$2:C134)=1),1,0)</f>
      </c>
      <c r="T134" s="4">
        <f>IF(A134="","",DATEVALUE(A134))</f>
      </c>
    </row>
    <row r="135">
      <c r="P135" s="6">
        <f>IF(OR(A135="",SUM($S$2:$S$161)=0),"",IF(T135&lt;SUMIF($S$2:$S$161,1,$T$2:$T$161),"",ROUND(SUMIF($S$2:$S$161,1,$C$2:$C$161)-0.75*(T135-SUMIF($S$2:$S$161,1,$T$2:$T$161))/7,2)))</f>
      </c>
      <c r="Q135" s="6">
        <f>IF(OR(C135="",P135=""),"",ROUND(C135-P135,2))</f>
      </c>
      <c r="R135" s="4">
        <f>IF(COUNTA(B135:O135)=0,"",IF(OR(B135="Yes",AND(E135&lt;&gt;"",E135&gt;=10000)),1,0)+IF(OR(B135="Yes",G135="Yes",H135&lt;&gt;""),1,0)+IF(AND(J135&lt;&gt;"",J135&lt;=2400),1,0)+IF(N135="Yes",1,0))</f>
      </c>
      <c r="S135" s="4">
        <f>IF(AND(ISNUMBER(C135),COUNT($C$2:C135)=1),1,0)</f>
      </c>
      <c r="T135" s="4">
        <f>IF(A135="","",DATEVALUE(A135))</f>
      </c>
    </row>
    <row r="136">
      <c r="P136" s="6">
        <f>IF(OR(A136="",SUM($S$2:$S$161)=0),"",IF(T136&lt;SUMIF($S$2:$S$161,1,$T$2:$T$161),"",ROUND(SUMIF($S$2:$S$161,1,$C$2:$C$161)-0.75*(T136-SUMIF($S$2:$S$161,1,$T$2:$T$161))/7,2)))</f>
      </c>
      <c r="Q136" s="6">
        <f>IF(OR(C136="",P136=""),"",ROUND(C136-P136,2))</f>
      </c>
      <c r="R136" s="4">
        <f>IF(COUNTA(B136:O136)=0,"",IF(OR(B136="Yes",AND(E136&lt;&gt;"",E136&gt;=10000)),1,0)+IF(OR(B136="Yes",G136="Yes",H136&lt;&gt;""),1,0)+IF(AND(J136&lt;&gt;"",J136&lt;=2400),1,0)+IF(N136="Yes",1,0))</f>
      </c>
      <c r="S136" s="4">
        <f>IF(AND(ISNUMBER(C136),COUNT($C$2:C136)=1),1,0)</f>
      </c>
      <c r="T136" s="4">
        <f>IF(A136="","",DATEVALUE(A136))</f>
      </c>
    </row>
    <row r="137">
      <c r="P137" s="6">
        <f>IF(OR(A137="",SUM($S$2:$S$161)=0),"",IF(T137&lt;SUMIF($S$2:$S$161,1,$T$2:$T$161),"",ROUND(SUMIF($S$2:$S$161,1,$C$2:$C$161)-0.75*(T137-SUMIF($S$2:$S$161,1,$T$2:$T$161))/7,2)))</f>
      </c>
      <c r="Q137" s="6">
        <f>IF(OR(C137="",P137=""),"",ROUND(C137-P137,2))</f>
      </c>
      <c r="R137" s="4">
        <f>IF(COUNTA(B137:O137)=0,"",IF(OR(B137="Yes",AND(E137&lt;&gt;"",E137&gt;=10000)),1,0)+IF(OR(B137="Yes",G137="Yes",H137&lt;&gt;""),1,0)+IF(AND(J137&lt;&gt;"",J137&lt;=2400),1,0)+IF(N137="Yes",1,0))</f>
      </c>
      <c r="S137" s="4">
        <f>IF(AND(ISNUMBER(C137),COUNT($C$2:C137)=1),1,0)</f>
      </c>
      <c r="T137" s="4">
        <f>IF(A137="","",DATEVALUE(A137))</f>
      </c>
    </row>
    <row r="138">
      <c r="P138" s="6">
        <f>IF(OR(A138="",SUM($S$2:$S$161)=0),"",IF(T138&lt;SUMIF($S$2:$S$161,1,$T$2:$T$161),"",ROUND(SUMIF($S$2:$S$161,1,$C$2:$C$161)-0.75*(T138-SUMIF($S$2:$S$161,1,$T$2:$T$161))/7,2)))</f>
      </c>
      <c r="Q138" s="6">
        <f>IF(OR(C138="",P138=""),"",ROUND(C138-P138,2))</f>
      </c>
      <c r="R138" s="4">
        <f>IF(COUNTA(B138:O138)=0,"",IF(OR(B138="Yes",AND(E138&lt;&gt;"",E138&gt;=10000)),1,0)+IF(OR(B138="Yes",G138="Yes",H138&lt;&gt;""),1,0)+IF(AND(J138&lt;&gt;"",J138&lt;=2400),1,0)+IF(N138="Yes",1,0))</f>
      </c>
      <c r="S138" s="4">
        <f>IF(AND(ISNUMBER(C138),COUNT($C$2:C138)=1),1,0)</f>
      </c>
      <c r="T138" s="4">
        <f>IF(A138="","",DATEVALUE(A138))</f>
      </c>
    </row>
    <row r="139">
      <c r="P139" s="6">
        <f>IF(OR(A139="",SUM($S$2:$S$161)=0),"",IF(T139&lt;SUMIF($S$2:$S$161,1,$T$2:$T$161),"",ROUND(SUMIF($S$2:$S$161,1,$C$2:$C$161)-0.75*(T139-SUMIF($S$2:$S$161,1,$T$2:$T$161))/7,2)))</f>
      </c>
      <c r="Q139" s="6">
        <f>IF(OR(C139="",P139=""),"",ROUND(C139-P139,2))</f>
      </c>
      <c r="R139" s="4">
        <f>IF(COUNTA(B139:O139)=0,"",IF(OR(B139="Yes",AND(E139&lt;&gt;"",E139&gt;=10000)),1,0)+IF(OR(B139="Yes",G139="Yes",H139&lt;&gt;""),1,0)+IF(AND(J139&lt;&gt;"",J139&lt;=2400),1,0)+IF(N139="Yes",1,0))</f>
      </c>
      <c r="S139" s="4">
        <f>IF(AND(ISNUMBER(C139),COUNT($C$2:C139)=1),1,0)</f>
      </c>
      <c r="T139" s="4">
        <f>IF(A139="","",DATEVALUE(A139))</f>
      </c>
    </row>
    <row r="140">
      <c r="P140" s="6">
        <f>IF(OR(A140="",SUM($S$2:$S$161)=0),"",IF(T140&lt;SUMIF($S$2:$S$161,1,$T$2:$T$161),"",ROUND(SUMIF($S$2:$S$161,1,$C$2:$C$161)-0.75*(T140-SUMIF($S$2:$S$161,1,$T$2:$T$161))/7,2)))</f>
      </c>
      <c r="Q140" s="6">
        <f>IF(OR(C140="",P140=""),"",ROUND(C140-P140,2))</f>
      </c>
      <c r="R140" s="4">
        <f>IF(COUNTA(B140:O140)=0,"",IF(OR(B140="Yes",AND(E140&lt;&gt;"",E140&gt;=10000)),1,0)+IF(OR(B140="Yes",G140="Yes",H140&lt;&gt;""),1,0)+IF(AND(J140&lt;&gt;"",J140&lt;=2400),1,0)+IF(N140="Yes",1,0))</f>
      </c>
      <c r="S140" s="4">
        <f>IF(AND(ISNUMBER(C140),COUNT($C$2:C140)=1),1,0)</f>
      </c>
      <c r="T140" s="4">
        <f>IF(A140="","",DATEVALUE(A140))</f>
      </c>
    </row>
    <row r="141">
      <c r="P141" s="6">
        <f>IF(OR(A141="",SUM($S$2:$S$161)=0),"",IF(T141&lt;SUMIF($S$2:$S$161,1,$T$2:$T$161),"",ROUND(SUMIF($S$2:$S$161,1,$C$2:$C$161)-0.75*(T141-SUMIF($S$2:$S$161,1,$T$2:$T$161))/7,2)))</f>
      </c>
      <c r="Q141" s="6">
        <f>IF(OR(C141="",P141=""),"",ROUND(C141-P141,2))</f>
      </c>
      <c r="R141" s="4">
        <f>IF(COUNTA(B141:O141)=0,"",IF(OR(B141="Yes",AND(E141&lt;&gt;"",E141&gt;=10000)),1,0)+IF(OR(B141="Yes",G141="Yes",H141&lt;&gt;""),1,0)+IF(AND(J141&lt;&gt;"",J141&lt;=2400),1,0)+IF(N141="Yes",1,0))</f>
      </c>
      <c r="S141" s="4">
        <f>IF(AND(ISNUMBER(C141),COUNT($C$2:C141)=1),1,0)</f>
      </c>
      <c r="T141" s="4">
        <f>IF(A141="","",DATEVALUE(A141))</f>
      </c>
    </row>
    <row r="142">
      <c r="P142" s="6">
        <f>IF(OR(A142="",SUM($S$2:$S$161)=0),"",IF(T142&lt;SUMIF($S$2:$S$161,1,$T$2:$T$161),"",ROUND(SUMIF($S$2:$S$161,1,$C$2:$C$161)-0.75*(T142-SUMIF($S$2:$S$161,1,$T$2:$T$161))/7,2)))</f>
      </c>
      <c r="Q142" s="6">
        <f>IF(OR(C142="",P142=""),"",ROUND(C142-P142,2))</f>
      </c>
      <c r="R142" s="4">
        <f>IF(COUNTA(B142:O142)=0,"",IF(OR(B142="Yes",AND(E142&lt;&gt;"",E142&gt;=10000)),1,0)+IF(OR(B142="Yes",G142="Yes",H142&lt;&gt;""),1,0)+IF(AND(J142&lt;&gt;"",J142&lt;=2400),1,0)+IF(N142="Yes",1,0))</f>
      </c>
      <c r="S142" s="4">
        <f>IF(AND(ISNUMBER(C142),COUNT($C$2:C142)=1),1,0)</f>
      </c>
      <c r="T142" s="4">
        <f>IF(A142="","",DATEVALUE(A142))</f>
      </c>
    </row>
    <row r="143">
      <c r="P143" s="6">
        <f>IF(OR(A143="",SUM($S$2:$S$161)=0),"",IF(T143&lt;SUMIF($S$2:$S$161,1,$T$2:$T$161),"",ROUND(SUMIF($S$2:$S$161,1,$C$2:$C$161)-0.75*(T143-SUMIF($S$2:$S$161,1,$T$2:$T$161))/7,2)))</f>
      </c>
      <c r="Q143" s="6">
        <f>IF(OR(C143="",P143=""),"",ROUND(C143-P143,2))</f>
      </c>
      <c r="R143" s="4">
        <f>IF(COUNTA(B143:O143)=0,"",IF(OR(B143="Yes",AND(E143&lt;&gt;"",E143&gt;=10000)),1,0)+IF(OR(B143="Yes",G143="Yes",H143&lt;&gt;""),1,0)+IF(AND(J143&lt;&gt;"",J143&lt;=2400),1,0)+IF(N143="Yes",1,0))</f>
      </c>
      <c r="S143" s="4">
        <f>IF(AND(ISNUMBER(C143),COUNT($C$2:C143)=1),1,0)</f>
      </c>
      <c r="T143" s="4">
        <f>IF(A143="","",DATEVALUE(A143))</f>
      </c>
    </row>
    <row r="144">
      <c r="P144" s="6">
        <f>IF(OR(A144="",SUM($S$2:$S$161)=0),"",IF(T144&lt;SUMIF($S$2:$S$161,1,$T$2:$T$161),"",ROUND(SUMIF($S$2:$S$161,1,$C$2:$C$161)-0.75*(T144-SUMIF($S$2:$S$161,1,$T$2:$T$161))/7,2)))</f>
      </c>
      <c r="Q144" s="6">
        <f>IF(OR(C144="",P144=""),"",ROUND(C144-P144,2))</f>
      </c>
      <c r="R144" s="4">
        <f>IF(COUNTA(B144:O144)=0,"",IF(OR(B144="Yes",AND(E144&lt;&gt;"",E144&gt;=10000)),1,0)+IF(OR(B144="Yes",G144="Yes",H144&lt;&gt;""),1,0)+IF(AND(J144&lt;&gt;"",J144&lt;=2400),1,0)+IF(N144="Yes",1,0))</f>
      </c>
      <c r="S144" s="4">
        <f>IF(AND(ISNUMBER(C144),COUNT($C$2:C144)=1),1,0)</f>
      </c>
      <c r="T144" s="4">
        <f>IF(A144="","",DATEVALUE(A144))</f>
      </c>
    </row>
    <row r="145">
      <c r="P145" s="6">
        <f>IF(OR(A145="",SUM($S$2:$S$161)=0),"",IF(T145&lt;SUMIF($S$2:$S$161,1,$T$2:$T$161),"",ROUND(SUMIF($S$2:$S$161,1,$C$2:$C$161)-0.75*(T145-SUMIF($S$2:$S$161,1,$T$2:$T$161))/7,2)))</f>
      </c>
      <c r="Q145" s="6">
        <f>IF(OR(C145="",P145=""),"",ROUND(C145-P145,2))</f>
      </c>
      <c r="R145" s="4">
        <f>IF(COUNTA(B145:O145)=0,"",IF(OR(B145="Yes",AND(E145&lt;&gt;"",E145&gt;=10000)),1,0)+IF(OR(B145="Yes",G145="Yes",H145&lt;&gt;""),1,0)+IF(AND(J145&lt;&gt;"",J145&lt;=2400),1,0)+IF(N145="Yes",1,0))</f>
      </c>
      <c r="S145" s="4">
        <f>IF(AND(ISNUMBER(C145),COUNT($C$2:C145)=1),1,0)</f>
      </c>
      <c r="T145" s="4">
        <f>IF(A145="","",DATEVALUE(A145))</f>
      </c>
    </row>
    <row r="146">
      <c r="P146" s="6">
        <f>IF(OR(A146="",SUM($S$2:$S$161)=0),"",IF(T146&lt;SUMIF($S$2:$S$161,1,$T$2:$T$161),"",ROUND(SUMIF($S$2:$S$161,1,$C$2:$C$161)-0.75*(T146-SUMIF($S$2:$S$161,1,$T$2:$T$161))/7,2)))</f>
      </c>
      <c r="Q146" s="6">
        <f>IF(OR(C146="",P146=""),"",ROUND(C146-P146,2))</f>
      </c>
      <c r="R146" s="4">
        <f>IF(COUNTA(B146:O146)=0,"",IF(OR(B146="Yes",AND(E146&lt;&gt;"",E146&gt;=10000)),1,0)+IF(OR(B146="Yes",G146="Yes",H146&lt;&gt;""),1,0)+IF(AND(J146&lt;&gt;"",J146&lt;=2400),1,0)+IF(N146="Yes",1,0))</f>
      </c>
      <c r="S146" s="4">
        <f>IF(AND(ISNUMBER(C146),COUNT($C$2:C146)=1),1,0)</f>
      </c>
      <c r="T146" s="4">
        <f>IF(A146="","",DATEVALUE(A146))</f>
      </c>
    </row>
    <row r="147">
      <c r="P147" s="6">
        <f>IF(OR(A147="",SUM($S$2:$S$161)=0),"",IF(T147&lt;SUMIF($S$2:$S$161,1,$T$2:$T$161),"",ROUND(SUMIF($S$2:$S$161,1,$C$2:$C$161)-0.75*(T147-SUMIF($S$2:$S$161,1,$T$2:$T$161))/7,2)))</f>
      </c>
      <c r="Q147" s="6">
        <f>IF(OR(C147="",P147=""),"",ROUND(C147-P147,2))</f>
      </c>
      <c r="R147" s="4">
        <f>IF(COUNTA(B147:O147)=0,"",IF(OR(B147="Yes",AND(E147&lt;&gt;"",E147&gt;=10000)),1,0)+IF(OR(B147="Yes",G147="Yes",H147&lt;&gt;""),1,0)+IF(AND(J147&lt;&gt;"",J147&lt;=2400),1,0)+IF(N147="Yes",1,0))</f>
      </c>
      <c r="S147" s="4">
        <f>IF(AND(ISNUMBER(C147),COUNT($C$2:C147)=1),1,0)</f>
      </c>
      <c r="T147" s="4">
        <f>IF(A147="","",DATEVALUE(A147))</f>
      </c>
    </row>
    <row r="148">
      <c r="P148" s="6">
        <f>IF(OR(A148="",SUM($S$2:$S$161)=0),"",IF(T148&lt;SUMIF($S$2:$S$161,1,$T$2:$T$161),"",ROUND(SUMIF($S$2:$S$161,1,$C$2:$C$161)-0.75*(T148-SUMIF($S$2:$S$161,1,$T$2:$T$161))/7,2)))</f>
      </c>
      <c r="Q148" s="6">
        <f>IF(OR(C148="",P148=""),"",ROUND(C148-P148,2))</f>
      </c>
      <c r="R148" s="4">
        <f>IF(COUNTA(B148:O148)=0,"",IF(OR(B148="Yes",AND(E148&lt;&gt;"",E148&gt;=10000)),1,0)+IF(OR(B148="Yes",G148="Yes",H148&lt;&gt;""),1,0)+IF(AND(J148&lt;&gt;"",J148&lt;=2400),1,0)+IF(N148="Yes",1,0))</f>
      </c>
      <c r="S148" s="4">
        <f>IF(AND(ISNUMBER(C148),COUNT($C$2:C148)=1),1,0)</f>
      </c>
      <c r="T148" s="4">
        <f>IF(A148="","",DATEVALUE(A148))</f>
      </c>
    </row>
    <row r="149">
      <c r="P149" s="6">
        <f>IF(OR(A149="",SUM($S$2:$S$161)=0),"",IF(T149&lt;SUMIF($S$2:$S$161,1,$T$2:$T$161),"",ROUND(SUMIF($S$2:$S$161,1,$C$2:$C$161)-0.75*(T149-SUMIF($S$2:$S$161,1,$T$2:$T$161))/7,2)))</f>
      </c>
      <c r="Q149" s="6">
        <f>IF(OR(C149="",P149=""),"",ROUND(C149-P149,2))</f>
      </c>
      <c r="R149" s="4">
        <f>IF(COUNTA(B149:O149)=0,"",IF(OR(B149="Yes",AND(E149&lt;&gt;"",E149&gt;=10000)),1,0)+IF(OR(B149="Yes",G149="Yes",H149&lt;&gt;""),1,0)+IF(AND(J149&lt;&gt;"",J149&lt;=2400),1,0)+IF(N149="Yes",1,0))</f>
      </c>
      <c r="S149" s="4">
        <f>IF(AND(ISNUMBER(C149),COUNT($C$2:C149)=1),1,0)</f>
      </c>
      <c r="T149" s="4">
        <f>IF(A149="","",DATEVALUE(A149))</f>
      </c>
    </row>
    <row r="150">
      <c r="P150" s="6">
        <f>IF(OR(A150="",SUM($S$2:$S$161)=0),"",IF(T150&lt;SUMIF($S$2:$S$161,1,$T$2:$T$161),"",ROUND(SUMIF($S$2:$S$161,1,$C$2:$C$161)-0.75*(T150-SUMIF($S$2:$S$161,1,$T$2:$T$161))/7,2)))</f>
      </c>
      <c r="Q150" s="6">
        <f>IF(OR(C150="",P150=""),"",ROUND(C150-P150,2))</f>
      </c>
      <c r="R150" s="4">
        <f>IF(COUNTA(B150:O150)=0,"",IF(OR(B150="Yes",AND(E150&lt;&gt;"",E150&gt;=10000)),1,0)+IF(OR(B150="Yes",G150="Yes",H150&lt;&gt;""),1,0)+IF(AND(J150&lt;&gt;"",J150&lt;=2400),1,0)+IF(N150="Yes",1,0))</f>
      </c>
      <c r="S150" s="4">
        <f>IF(AND(ISNUMBER(C150),COUNT($C$2:C150)=1),1,0)</f>
      </c>
      <c r="T150" s="4">
        <f>IF(A150="","",DATEVALUE(A150))</f>
      </c>
    </row>
    <row r="151">
      <c r="P151" s="6">
        <f>IF(OR(A151="",SUM($S$2:$S$161)=0),"",IF(T151&lt;SUMIF($S$2:$S$161,1,$T$2:$T$161),"",ROUND(SUMIF($S$2:$S$161,1,$C$2:$C$161)-0.75*(T151-SUMIF($S$2:$S$161,1,$T$2:$T$161))/7,2)))</f>
      </c>
      <c r="Q151" s="6">
        <f>IF(OR(C151="",P151=""),"",ROUND(C151-P151,2))</f>
      </c>
      <c r="R151" s="4">
        <f>IF(COUNTA(B151:O151)=0,"",IF(OR(B151="Yes",AND(E151&lt;&gt;"",E151&gt;=10000)),1,0)+IF(OR(B151="Yes",G151="Yes",H151&lt;&gt;""),1,0)+IF(AND(J151&lt;&gt;"",J151&lt;=2400),1,0)+IF(N151="Yes",1,0))</f>
      </c>
      <c r="S151" s="4">
        <f>IF(AND(ISNUMBER(C151),COUNT($C$2:C151)=1),1,0)</f>
      </c>
      <c r="T151" s="4">
        <f>IF(A151="","",DATEVALUE(A151))</f>
      </c>
    </row>
    <row r="152">
      <c r="P152" s="6">
        <f>IF(OR(A152="",SUM($S$2:$S$161)=0),"",IF(T152&lt;SUMIF($S$2:$S$161,1,$T$2:$T$161),"",ROUND(SUMIF($S$2:$S$161,1,$C$2:$C$161)-0.75*(T152-SUMIF($S$2:$S$161,1,$T$2:$T$161))/7,2)))</f>
      </c>
      <c r="Q152" s="6">
        <f>IF(OR(C152="",P152=""),"",ROUND(C152-P152,2))</f>
      </c>
      <c r="R152" s="4">
        <f>IF(COUNTA(B152:O152)=0,"",IF(OR(B152="Yes",AND(E152&lt;&gt;"",E152&gt;=10000)),1,0)+IF(OR(B152="Yes",G152="Yes",H152&lt;&gt;""),1,0)+IF(AND(J152&lt;&gt;"",J152&lt;=2400),1,0)+IF(N152="Yes",1,0))</f>
      </c>
      <c r="S152" s="4">
        <f>IF(AND(ISNUMBER(C152),COUNT($C$2:C152)=1),1,0)</f>
      </c>
      <c r="T152" s="4">
        <f>IF(A152="","",DATEVALUE(A152))</f>
      </c>
    </row>
    <row r="153">
      <c r="P153" s="6">
        <f>IF(OR(A153="",SUM($S$2:$S$161)=0),"",IF(T153&lt;SUMIF($S$2:$S$161,1,$T$2:$T$161),"",ROUND(SUMIF($S$2:$S$161,1,$C$2:$C$161)-0.75*(T153-SUMIF($S$2:$S$161,1,$T$2:$T$161))/7,2)))</f>
      </c>
      <c r="Q153" s="6">
        <f>IF(OR(C153="",P153=""),"",ROUND(C153-P153,2))</f>
      </c>
      <c r="R153" s="4">
        <f>IF(COUNTA(B153:O153)=0,"",IF(OR(B153="Yes",AND(E153&lt;&gt;"",E153&gt;=10000)),1,0)+IF(OR(B153="Yes",G153="Yes",H153&lt;&gt;""),1,0)+IF(AND(J153&lt;&gt;"",J153&lt;=2400),1,0)+IF(N153="Yes",1,0))</f>
      </c>
      <c r="S153" s="4">
        <f>IF(AND(ISNUMBER(C153),COUNT($C$2:C153)=1),1,0)</f>
      </c>
      <c r="T153" s="4">
        <f>IF(A153="","",DATEVALUE(A153))</f>
      </c>
    </row>
    <row r="154">
      <c r="P154" s="6">
        <f>IF(OR(A154="",SUM($S$2:$S$161)=0),"",IF(T154&lt;SUMIF($S$2:$S$161,1,$T$2:$T$161),"",ROUND(SUMIF($S$2:$S$161,1,$C$2:$C$161)-0.75*(T154-SUMIF($S$2:$S$161,1,$T$2:$T$161))/7,2)))</f>
      </c>
      <c r="Q154" s="6">
        <f>IF(OR(C154="",P154=""),"",ROUND(C154-P154,2))</f>
      </c>
      <c r="R154" s="4">
        <f>IF(COUNTA(B154:O154)=0,"",IF(OR(B154="Yes",AND(E154&lt;&gt;"",E154&gt;=10000)),1,0)+IF(OR(B154="Yes",G154="Yes",H154&lt;&gt;""),1,0)+IF(AND(J154&lt;&gt;"",J154&lt;=2400),1,0)+IF(N154="Yes",1,0))</f>
      </c>
      <c r="S154" s="4">
        <f>IF(AND(ISNUMBER(C154),COUNT($C$2:C154)=1),1,0)</f>
      </c>
      <c r="T154" s="4">
        <f>IF(A154="","",DATEVALUE(A154))</f>
      </c>
    </row>
    <row r="155">
      <c r="P155" s="6">
        <f>IF(OR(A155="",SUM($S$2:$S$161)=0),"",IF(T155&lt;SUMIF($S$2:$S$161,1,$T$2:$T$161),"",ROUND(SUMIF($S$2:$S$161,1,$C$2:$C$161)-0.75*(T155-SUMIF($S$2:$S$161,1,$T$2:$T$161))/7,2)))</f>
      </c>
      <c r="Q155" s="6">
        <f>IF(OR(C155="",P155=""),"",ROUND(C155-P155,2))</f>
      </c>
      <c r="R155" s="4">
        <f>IF(COUNTA(B155:O155)=0,"",IF(OR(B155="Yes",AND(E155&lt;&gt;"",E155&gt;=10000)),1,0)+IF(OR(B155="Yes",G155="Yes",H155&lt;&gt;""),1,0)+IF(AND(J155&lt;&gt;"",J155&lt;=2400),1,0)+IF(N155="Yes",1,0))</f>
      </c>
      <c r="S155" s="4">
        <f>IF(AND(ISNUMBER(C155),COUNT($C$2:C155)=1),1,0)</f>
      </c>
      <c r="T155" s="4">
        <f>IF(A155="","",DATEVALUE(A155))</f>
      </c>
    </row>
    <row r="156">
      <c r="P156" s="6">
        <f>IF(OR(A156="",SUM($S$2:$S$161)=0),"",IF(T156&lt;SUMIF($S$2:$S$161,1,$T$2:$T$161),"",ROUND(SUMIF($S$2:$S$161,1,$C$2:$C$161)-0.75*(T156-SUMIF($S$2:$S$161,1,$T$2:$T$161))/7,2)))</f>
      </c>
      <c r="Q156" s="6">
        <f>IF(OR(C156="",P156=""),"",ROUND(C156-P156,2))</f>
      </c>
      <c r="R156" s="4">
        <f>IF(COUNTA(B156:O156)=0,"",IF(OR(B156="Yes",AND(E156&lt;&gt;"",E156&gt;=10000)),1,0)+IF(OR(B156="Yes",G156="Yes",H156&lt;&gt;""),1,0)+IF(AND(J156&lt;&gt;"",J156&lt;=2400),1,0)+IF(N156="Yes",1,0))</f>
      </c>
      <c r="S156" s="4">
        <f>IF(AND(ISNUMBER(C156),COUNT($C$2:C156)=1),1,0)</f>
      </c>
      <c r="T156" s="4">
        <f>IF(A156="","",DATEVALUE(A156))</f>
      </c>
    </row>
    <row r="157">
      <c r="P157" s="6">
        <f>IF(OR(A157="",SUM($S$2:$S$161)=0),"",IF(T157&lt;SUMIF($S$2:$S$161,1,$T$2:$T$161),"",ROUND(SUMIF($S$2:$S$161,1,$C$2:$C$161)-0.75*(T157-SUMIF($S$2:$S$161,1,$T$2:$T$161))/7,2)))</f>
      </c>
      <c r="Q157" s="6">
        <f>IF(OR(C157="",P157=""),"",ROUND(C157-P157,2))</f>
      </c>
      <c r="R157" s="4">
        <f>IF(COUNTA(B157:O157)=0,"",IF(OR(B157="Yes",AND(E157&lt;&gt;"",E157&gt;=10000)),1,0)+IF(OR(B157="Yes",G157="Yes",H157&lt;&gt;""),1,0)+IF(AND(J157&lt;&gt;"",J157&lt;=2400),1,0)+IF(N157="Yes",1,0))</f>
      </c>
      <c r="S157" s="4">
        <f>IF(AND(ISNUMBER(C157),COUNT($C$2:C157)=1),1,0)</f>
      </c>
      <c r="T157" s="4">
        <f>IF(A157="","",DATEVALUE(A157))</f>
      </c>
    </row>
    <row r="158">
      <c r="P158" s="6">
        <f>IF(OR(A158="",SUM($S$2:$S$161)=0),"",IF(T158&lt;SUMIF($S$2:$S$161,1,$T$2:$T$161),"",ROUND(SUMIF($S$2:$S$161,1,$C$2:$C$161)-0.75*(T158-SUMIF($S$2:$S$161,1,$T$2:$T$161))/7,2)))</f>
      </c>
      <c r="Q158" s="6">
        <f>IF(OR(C158="",P158=""),"",ROUND(C158-P158,2))</f>
      </c>
      <c r="R158" s="4">
        <f>IF(COUNTA(B158:O158)=0,"",IF(OR(B158="Yes",AND(E158&lt;&gt;"",E158&gt;=10000)),1,0)+IF(OR(B158="Yes",G158="Yes",H158&lt;&gt;""),1,0)+IF(AND(J158&lt;&gt;"",J158&lt;=2400),1,0)+IF(N158="Yes",1,0))</f>
      </c>
      <c r="S158" s="4">
        <f>IF(AND(ISNUMBER(C158),COUNT($C$2:C158)=1),1,0)</f>
      </c>
      <c r="T158" s="4">
        <f>IF(A158="","",DATEVALUE(A158))</f>
      </c>
    </row>
    <row r="159">
      <c r="P159" s="6">
        <f>IF(OR(A159="",SUM($S$2:$S$161)=0),"",IF(T159&lt;SUMIF($S$2:$S$161,1,$T$2:$T$161),"",ROUND(SUMIF($S$2:$S$161,1,$C$2:$C$161)-0.75*(T159-SUMIF($S$2:$S$161,1,$T$2:$T$161))/7,2)))</f>
      </c>
      <c r="Q159" s="6">
        <f>IF(OR(C159="",P159=""),"",ROUND(C159-P159,2))</f>
      </c>
      <c r="R159" s="4">
        <f>IF(COUNTA(B159:O159)=0,"",IF(OR(B159="Yes",AND(E159&lt;&gt;"",E159&gt;=10000)),1,0)+IF(OR(B159="Yes",G159="Yes",H159&lt;&gt;""),1,0)+IF(AND(J159&lt;&gt;"",J159&lt;=2400),1,0)+IF(N159="Yes",1,0))</f>
      </c>
      <c r="S159" s="4">
        <f>IF(AND(ISNUMBER(C159),COUNT($C$2:C159)=1),1,0)</f>
      </c>
      <c r="T159" s="4">
        <f>IF(A159="","",DATEVALUE(A159))</f>
      </c>
    </row>
    <row r="160">
      <c r="P160" s="6">
        <f>IF(OR(A160="",SUM($S$2:$S$161)=0),"",IF(T160&lt;SUMIF($S$2:$S$161,1,$T$2:$T$161),"",ROUND(SUMIF($S$2:$S$161,1,$C$2:$C$161)-0.75*(T160-SUMIF($S$2:$S$161,1,$T$2:$T$161))/7,2)))</f>
      </c>
      <c r="Q160" s="6">
        <f>IF(OR(C160="",P160=""),"",ROUND(C160-P160,2))</f>
      </c>
      <c r="R160" s="4">
        <f>IF(COUNTA(B160:O160)=0,"",IF(OR(B160="Yes",AND(E160&lt;&gt;"",E160&gt;=10000)),1,0)+IF(OR(B160="Yes",G160="Yes",H160&lt;&gt;""),1,0)+IF(AND(J160&lt;&gt;"",J160&lt;=2400),1,0)+IF(N160="Yes",1,0))</f>
      </c>
      <c r="S160" s="4">
        <f>IF(AND(ISNUMBER(C160),COUNT($C$2:C160)=1),1,0)</f>
      </c>
      <c r="T160" s="4">
        <f>IF(A160="","",DATEVALUE(A160))</f>
      </c>
    </row>
    <row r="161">
      <c r="P161" s="6">
        <f>IF(OR(A161="",SUM($S$2:$S$161)=0),"",IF(T161&lt;SUMIF($S$2:$S$161,1,$T$2:$T$161),"",ROUND(SUMIF($S$2:$S$161,1,$C$2:$C$161)-0.75*(T161-SUMIF($S$2:$S$161,1,$T$2:$T$161))/7,2)))</f>
      </c>
      <c r="Q161" s="6">
        <f>IF(OR(C161="",P161=""),"",ROUND(C161-P161,2))</f>
      </c>
      <c r="R161" s="4">
        <f>IF(COUNTA(B161:O161)=0,"",IF(OR(B161="Yes",AND(E161&lt;&gt;"",E161&gt;=10000)),1,0)+IF(OR(B161="Yes",G161="Yes",H161&lt;&gt;""),1,0)+IF(AND(J161&lt;&gt;"",J161&lt;=2400),1,0)+IF(N161="Yes",1,0))</f>
      </c>
      <c r="S161" s="4">
        <f>IF(AND(ISNUMBER(C161),COUNT($C$2:C161)=1),1,0)</f>
      </c>
      <c r="T161" s="4">
        <f>IF(A161="","",DATEVALUE(A161))</f>
      </c>
    </row>
  </sheetData>
  <conditionalFormatting sqref="A2:A161">
    <cfRule type="expression" dxfId="5" priority="1">
      <formula>A2=TEXT(TODAY(),"yyyy-mm-dd")</formula>
    </cfRule>
  </conditionalFormatting>
  <conditionalFormatting sqref="B2:B161">
    <cfRule type="expression" dxfId="3" priority="2">
      <formula>B2="Yes"</formula>
    </cfRule>
  </conditionalFormatting>
  <conditionalFormatting sqref="D2:D161">
    <cfRule type="expression" dxfId="0" priority="3">
      <formula>AND(D2&lt;&gt;"",D2&gt;=7)</formula>
    </cfRule>
    <cfRule type="expression" dxfId="1" priority="4">
      <formula>AND(D2&lt;&gt;"",D2&gt;=6,D2&lt;7)</formula>
    </cfRule>
    <cfRule type="expression" dxfId="2" priority="5">
      <formula>AND(D2&lt;&gt;"",D2&lt;6)</formula>
    </cfRule>
  </conditionalFormatting>
  <conditionalFormatting sqref="E2:E161">
    <cfRule type="expression" dxfId="0" priority="6">
      <formula>AND(E2&lt;&gt;"",E2&gt;=10000)</formula>
    </cfRule>
    <cfRule type="expression" dxfId="1" priority="7">
      <formula>AND(E2&lt;&gt;"",E2&gt;0,E2&lt;10000)</formula>
    </cfRule>
  </conditionalFormatting>
  <conditionalFormatting sqref="G2:G161">
    <cfRule type="expression" dxfId="0" priority="8">
      <formula>G2="Yes"</formula>
    </cfRule>
  </conditionalFormatting>
  <conditionalFormatting sqref="J2:J161">
    <cfRule type="expression" dxfId="0" priority="9">
      <formula>AND(J2&lt;&gt;"",J2&lt;=2400)</formula>
    </cfRule>
    <cfRule type="expression" dxfId="2" priority="10">
      <formula>AND(J2&lt;&gt;"",J2&gt;2400)</formula>
    </cfRule>
  </conditionalFormatting>
  <conditionalFormatting sqref="N2:N161">
    <cfRule type="expression" dxfId="0" priority="11">
      <formula>N2="Yes"</formula>
    </cfRule>
  </conditionalFormatting>
  <conditionalFormatting sqref="Q2:Q161">
    <cfRule type="expression" dxfId="0" priority="12">
      <formula>AND(ISNUMBER(Q2),Q2&lt;=0)</formula>
    </cfRule>
    <cfRule type="expression" dxfId="1" priority="13">
      <formula>AND(ISNUMBER(Q2),Q2&gt;0,Q2&lt;=0.3)</formula>
    </cfRule>
    <cfRule type="expression" dxfId="2" priority="14">
      <formula>AND(ISNUMBER(Q2),Q2&gt;0.3)</formula>
    </cfRule>
  </conditionalFormatting>
  <conditionalFormatting sqref="R2:R161">
    <cfRule type="expression" dxfId="0" priority="15">
      <formula>AND(ISNUMBER(R2),R2=4)</formula>
    </cfRule>
    <cfRule type="expression" dxfId="1" priority="16">
      <formula>AND(ISNUMBER(R2),R2=3)</formula>
    </cfRule>
    <cfRule type="expression" dxfId="2" priority="17">
      <formula>AND(ISNUMBER(R2),R2&lt;=2)</formula>
    </cfRule>
  </conditionalFormatting>
  <conditionalFormatting sqref="A2:O161">
    <cfRule type="expression" dxfId="4" priority="18">
      <formula>AND(ISNUMBER($R2),$R2=4)</formula>
    </cfRule>
  </conditionalFormatting>
  <dataValidations count="3">
    <dataValidation type="list" allowBlank="1" showErrorMessage="1" sqref="B2:B161">
      <formula1>"Yes,No"</formula1>
    </dataValidation>
    <dataValidation type="list" allowBlank="1" showErrorMessage="1" sqref="G2:G161">
      <formula1>"Yes,No"</formula1>
    </dataValidation>
    <dataValidation type="list" allowBlank="1" showErrorMessage="1" sqref="N2:N161">
      <formula1>"Yes,No"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0" customWidth="1"/>
  </cols>
  <sheetData>
    <row r="1">
      <c r="A1" s="1" t="inlineStr">
        <is>
          <t>Fat to Fit: how this sheet works</t>
        </is>
      </c>
    </row>
    <row r="2">
      <c r="A2" t="inlineStr">
        <is>
          <t>Fill ONE row per day in the "Daily log" tab. Columns A to O are yours; leave anything you did not do blank. Columns P to R calculate themselves (S and T are hidden helpers).</t>
        </is>
      </c>
    </row>
    <row r="3">
      <c r="A3" t="inlineStr">
        <is>
          <t>The dashboard has no end date: it starts at the first row you fill and grows every day. Add past days (backfill) by filling the earlier dated rows.</t>
        </is>
      </c>
    </row>
    <row r="4">
      <c r="A4" t="inlineStr">
        <is>
          <t>Rest day, Gym done and Vlog posted have a Yes/No dropdown. A rest day counts the steps and gym as done.</t>
        </is>
      </c>
    </row>
    <row r="5">
      <c r="A5" t="inlineStr">
        <is>
          <t>A perfect day = 10,000 steps or more + gym + calories at or under 2400 + vlog posted (score 4 of 4). Sleep is tracked separately (target 7 hours).</t>
        </is>
      </c>
    </row>
    <row r="6">
      <c r="A6" t="inlineStr">
        <is>
          <t>Weight target: lose 0.75 kg every week, counted from your FIRST weigh-in (whichever row it is in).</t>
        </is>
      </c>
    </row>
    <row r="7">
      <c r="A7" t="inlineStr">
        <is>
          <t>Body parts: names separated by commas, e.g. chest, triceps (or "legs", "arms", "core"). Vlog link: an instagram.com reel link.</t>
        </is>
      </c>
    </row>
    <row r="8">
      <c r="A8" t="inlineStr">
        <is>
          <t>Need more days? Copy the last dated row down; formulas, colours and dropdowns already cover 40 rows past the dates.</t>
        </is>
      </c>
    </row>
    <row r="9"/>
    <row r="10">
      <c r="A10" t="inlineStr">
        <is>
          <t>Colours</t>
        </is>
      </c>
    </row>
    <row r="11">
      <c r="A11" t="inlineStr">
        <is>
          <t>Green = target met. Amber = close (fewer steps, sleep 6 to 7 hours, up to 0.3 kg behind pace). Red = missed (over calories, sleep under 6, more than 0.3 kg behind pace, score 2 or less).</t>
        </is>
      </c>
    </row>
    <row r="12">
      <c r="A12" t="inlineStr">
        <is>
          <t>Blue = rest day. A fully green row is a perfect day. The blue bold date is today.</t>
        </is>
      </c>
    </row>
    <row r="13"/>
    <row r="14">
      <c r="A14" t="inlineStr">
        <is>
          <t>Sharing</t>
        </is>
      </c>
    </row>
    <row r="15">
      <c r="A15" t="inlineStr">
        <is>
          <t>Google Sheets: Share &gt; General access &gt; "Anyone with the link" &gt; Viewer (never Editor). The public dashboard reads the first tab (Daily log): keep it first and keep the header row.</t>
        </is>
      </c>
    </row>
    <row r="16">
      <c r="A16" t="inlineStr">
        <is>
          <t>Edits show on the dashboard within about a minute.</t>
        </is>
      </c>
    </row>
  </sheetData>
</worksheet>
</file>